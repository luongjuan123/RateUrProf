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_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Times New Roman"/>
      <b val="1"/>
      <color rgb="001F4E79"/>
      <sz val="16"/>
    </font>
    <font>
      <name val="Times New Roman"/>
      <i val="1"/>
      <color rgb="00595959"/>
      <sz val="10"/>
    </font>
    <font>
      <name val="Times New Roman"/>
      <b val="1"/>
      <sz val="10"/>
    </font>
    <font>
      <name val="Times New Roman"/>
      <sz val="10"/>
    </font>
    <font>
      <name val="Times New Roman"/>
      <b val="1"/>
      <color rgb="00375623"/>
      <sz val="10"/>
    </font>
    <font>
      <name val="Times New Roman"/>
      <i val="1"/>
      <color rgb="00595959"/>
      <sz val="9"/>
    </font>
    <font>
      <name val="Times New Roman"/>
      <b val="1"/>
      <color rgb="00FFFFFF"/>
      <sz val="10"/>
    </font>
    <font>
      <name val="Times New Roman"/>
      <b val="1"/>
      <color rgb="00ED7D31"/>
      <sz val="10"/>
    </font>
    <font>
      <name val="Times New Roman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FFFFFF"/>
      </left>
      <right style="thin">
        <color rgb="00FFFFFF"/>
      </right>
      <top style="medium">
        <color rgb="001F4E79"/>
      </top>
      <bottom style="medium">
        <color rgb="001F4E7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2" borderId="1" pivotButton="0" quotePrefix="0" xfId="0"/>
    <xf numFmtId="0" fontId="4" fillId="3" borderId="1" pivotButton="0" quotePrefix="0" xfId="0"/>
    <xf numFmtId="0" fontId="0" fillId="0" borderId="1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0" pivotButton="0" quotePrefix="0" xfId="0"/>
    <xf numFmtId="0" fontId="7" fillId="4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8" customWidth="1" min="4" max="4"/>
    <col width="28" customWidth="1" min="5" max="5"/>
    <col width="32" customWidth="1" min="6" max="6"/>
    <col width="32" customWidth="1" min="7" max="7"/>
    <col width="30" customWidth="1" min="8" max="8"/>
    <col width="30" customWidth="1" min="9" max="9"/>
    <col width="30" customWidth="1" min="10" max="10"/>
    <col width="26" customWidth="1" min="11" max="11"/>
    <col width="26" customWidth="1" min="12" max="12"/>
    <col width="24" customWidth="1" min="13" max="13"/>
  </cols>
  <sheetData>
    <row r="1" ht="28" customHeight="1">
      <c r="A1" s="1" t="inlineStr">
        <is>
          <t>DANH SÁCH LỖI CÀI SẴN (BUG MANIFEST)</t>
        </is>
      </c>
    </row>
    <row r="2" ht="20" customHeight="1">
      <c r="A2" s="2" t="inlineStr">
        <is>
          <t>Nộp RIÊNG cho giảng viên cùng lúc bàn giao sản phẩm (tuần 6). KHÔNG gửi cho bạn test. Không cần sửa lỗi: giữ nguyên sản phẩm đến hết buổi demo. Mỗi lỗi phải vi phạm một yêu cầu cụ thể trong SRS.</t>
        </is>
      </c>
    </row>
    <row r="4">
      <c r="B4" s="3" t="inlineStr">
        <is>
          <t>Họ và tên</t>
        </is>
      </c>
      <c r="C4" s="4" t="inlineStr">
        <is>
          <t>Lương Chí Dũng</t>
        </is>
      </c>
      <c r="D4" s="5" t="n"/>
      <c r="F4" s="3" t="inlineStr">
        <is>
          <t>Tự kiểm tra số lượng</t>
        </is>
      </c>
      <c r="G4" s="6" t="inlineStr">
        <is>
          <t>Số lượng</t>
        </is>
      </c>
      <c r="H4" s="6" t="inlineStr">
        <is>
          <t>Tối thiểu</t>
        </is>
      </c>
      <c r="I4" s="6" t="inlineStr">
        <is>
          <t>Trạng thái</t>
        </is>
      </c>
    </row>
    <row r="5">
      <c r="B5" s="3" t="inlineStr">
        <is>
          <t>MSSV</t>
        </is>
      </c>
      <c r="C5" s="4" t="inlineStr">
        <is>
          <t>24110215</t>
        </is>
      </c>
      <c r="D5" s="5" t="n"/>
      <c r="F5" s="7" t="inlineStr">
        <is>
          <t>Functional</t>
        </is>
      </c>
      <c r="G5" s="8">
        <f>COUNTIF(B15:B50, "Functional")</f>
        <v/>
      </c>
      <c r="H5" s="9" t="n">
        <v>5</v>
      </c>
      <c r="I5" s="10">
        <f>IF(G5&gt;=H5, "Đạt", "Chưa đạt")</f>
        <v/>
      </c>
    </row>
    <row r="6">
      <c r="B6" s="3" t="inlineStr">
        <is>
          <t>Lớp</t>
        </is>
      </c>
      <c r="C6" s="4" t="inlineStr">
        <is>
          <t>BCSE2024 - Trường Đại học Việt Nhật (VJU)</t>
        </is>
      </c>
      <c r="D6" s="5" t="n"/>
      <c r="F6" s="7" t="inlineStr">
        <is>
          <t>Visual</t>
        </is>
      </c>
      <c r="G6" s="8">
        <f>COUNTIF(B15:B50, "Visual")</f>
        <v/>
      </c>
      <c r="H6" s="9" t="n">
        <v>3</v>
      </c>
      <c r="I6" s="10">
        <f>IF(G6&gt;=H6, "Đạt", "Chưa đạt")</f>
        <v/>
      </c>
    </row>
    <row r="7">
      <c r="B7" s="3" t="inlineStr">
        <is>
          <t>Tên hệ thống</t>
        </is>
      </c>
      <c r="C7" s="4" t="inlineStr">
        <is>
          <t>RateProfCuaBan (RateUrProf)</t>
        </is>
      </c>
      <c r="D7" s="5" t="n"/>
      <c r="F7" s="7" t="inlineStr">
        <is>
          <t>Content</t>
        </is>
      </c>
      <c r="G7" s="8">
        <f>COUNTIF(B15:B50, "Content")</f>
        <v/>
      </c>
      <c r="H7" s="9" t="n">
        <v>3</v>
      </c>
      <c r="I7" s="10">
        <f>IF(G7&gt;=H7, "Đạt", "Chưa đạt")</f>
        <v/>
      </c>
    </row>
    <row r="8">
      <c r="B8" s="3" t="inlineStr">
        <is>
          <t>Link sản phẩm</t>
        </is>
      </c>
      <c r="C8" s="4" t="inlineStr">
        <is>
          <t>https://rateurprofs.site</t>
        </is>
      </c>
      <c r="D8" s="5" t="n"/>
      <c r="F8" s="7" t="inlineStr">
        <is>
          <t>Performance</t>
        </is>
      </c>
      <c r="G8" s="8">
        <f>COUNTIF(B15:B50, "Performance")</f>
        <v/>
      </c>
      <c r="H8" s="9" t="n">
        <v>2</v>
      </c>
      <c r="I8" s="10">
        <f>IF(G8&gt;=H8, "Đạt", "Chưa đạt")</f>
        <v/>
      </c>
    </row>
    <row r="9">
      <c r="B9" s="3" t="inlineStr">
        <is>
          <t>Tester (bạn cặp)</t>
        </is>
      </c>
      <c r="C9" s="4" t="inlineStr">
        <is>
          <t>Nguyễn Văn A (MSSV: 24110001)</t>
        </is>
      </c>
      <c r="D9" s="5" t="n"/>
      <c r="F9" s="7" t="inlineStr">
        <is>
          <t>Crash</t>
        </is>
      </c>
      <c r="G9" s="8">
        <f>COUNTIF(B15:B50, "Crash")</f>
        <v/>
      </c>
      <c r="H9" s="9" t="n">
        <v>2</v>
      </c>
      <c r="I9" s="10">
        <f>IF(G9&gt;=H9, "Đạt", "Chưa đạt")</f>
        <v/>
      </c>
    </row>
    <row r="10">
      <c r="B10" s="3" t="inlineStr">
        <is>
          <t>Ngày nộp</t>
        </is>
      </c>
      <c r="C10" s="4" t="inlineStr">
        <is>
          <t>26/10/2026</t>
        </is>
      </c>
      <c r="D10" s="5" t="n"/>
      <c r="F10" s="3" t="inlineStr">
        <is>
          <t>Tổng số lỗi</t>
        </is>
      </c>
      <c r="G10" s="6">
        <f>SUM(G5:G9)</f>
        <v/>
      </c>
      <c r="H10" s="6" t="n">
        <v>15</v>
      </c>
      <c r="I10" s="11">
        <f>IF(G10&gt;=H10, "Đạt", "Chưa đạt")</f>
        <v/>
      </c>
    </row>
    <row r="11">
      <c r="F11" s="3" t="inlineStr">
        <is>
          <t>Mức Critical + Major</t>
        </is>
      </c>
      <c r="G11" s="6">
        <f>COUNTIF(C15:C50, "Critical") + COUNTIF(C15:C50, "Major")</f>
        <v/>
      </c>
      <c r="H11" s="6" t="n">
        <v>3</v>
      </c>
      <c r="I11" s="11">
        <f>IF(G11&gt;=H11, "Đạt", "Chưa đạt")</f>
        <v/>
      </c>
    </row>
    <row r="12">
      <c r="F12" s="12" t="inlineStr">
        <is>
          <t>Bảng tự đếm theo cột Loại lỗi và Mức nghiêm trọng bên dưới.</t>
        </is>
      </c>
    </row>
    <row r="13">
      <c r="A13" s="13" t="inlineStr">
        <is>
          <t>Chú thích: ô nền vàng nhạt = sinh viên điền; dòng chữ xám nghiêng = VÍ DỤ, ghi đè hoặc xoá khi làm; cột có mũi tên = chọn từ danh sách.</t>
        </is>
      </c>
    </row>
    <row r="14" ht="26" customHeight="1">
      <c r="A14" s="14" t="inlineStr">
        <is>
          <t>Mã lỗi</t>
        </is>
      </c>
      <c r="B14" s="14" t="inlineStr">
        <is>
          <t>Loại lỗi</t>
        </is>
      </c>
      <c r="C14" s="14" t="inlineStr">
        <is>
          <t>Mức nghiêm trọng</t>
        </is>
      </c>
      <c r="D14" s="14" t="inlineStr">
        <is>
          <t>Chức năng / Luồng</t>
        </is>
      </c>
      <c r="E14" s="14" t="inlineStr">
        <is>
          <t>Vị trí (màn hình, URL, API)</t>
        </is>
      </c>
      <c r="F14" s="14" t="inlineStr">
        <is>
          <t>Yêu cầu SRS bị vi phạm (mã + trích nội dung)</t>
        </is>
      </c>
      <c r="G14" s="14" t="inlineStr">
        <is>
          <t>Mô tả lỗi</t>
        </is>
      </c>
      <c r="H14" s="14" t="inlineStr">
        <is>
          <t>Các bước tái hiện</t>
        </is>
      </c>
      <c r="I14" s="14" t="inlineStr">
        <is>
          <t>Kết quả mong đợi (theo SRS)</t>
        </is>
      </c>
      <c r="J14" s="14" t="inlineStr">
        <is>
          <t>Kết quả thực tế</t>
        </is>
      </c>
      <c r="K14" s="14" t="inlineStr">
        <is>
          <t>Bằng chứng (link ảnh / video lỗi trên sản phẩm)</t>
        </is>
      </c>
      <c r="L14" s="14" t="inlineStr">
        <is>
          <t>File chứa lỗi</t>
        </is>
      </c>
      <c r="M14" s="14" t="inlineStr">
        <is>
          <t>Ghi chú</t>
        </is>
      </c>
    </row>
    <row r="15" ht="40" customHeight="1">
      <c r="A15" s="15" t="inlineStr">
        <is>
          <t>SEED-01</t>
        </is>
      </c>
      <c r="B15" s="15" t="inlineStr">
        <is>
          <t>Functional</t>
        </is>
      </c>
      <c r="C15" s="16" t="inlineStr">
        <is>
          <t>Major</t>
        </is>
      </c>
      <c r="D15" s="17" t="inlineStr">
        <is>
          <t>FR-06 / FLOW-01</t>
        </is>
      </c>
      <c r="E15" s="18" t="inlineStr">
        <is>
          <t>Màn hình Đánh giá giảng viên (/professors/[id]/rate); API POST /api/lecturers/[id]/reviews</t>
        </is>
      </c>
      <c r="F15" s="18" t="inlineStr">
        <is>
          <t>FR-06: "Điểm đánh giá (pedagogy, difficulty, workEffort, gradingFairness) là số nguyên từ 1 đến 5; cấm điểm ngoài thang đo"</t>
        </is>
      </c>
      <c r="G15" s="18" t="inlineStr">
        <is>
          <t>Hệ thống cho phép gửi và lưu đánh giá với điểm = 0 hoặc điểm = 6 (vượt thang đo 1-5), làm sai lệch điểm trung bình của giảng viên.</t>
        </is>
      </c>
      <c r="H15" s="18" t="inlineStr">
        <is>
          <t>1. Mở trang /professors/[id]/rate
2. Dùng Postman hoặc DevTools gửi request POST /api/lecturers/[id]/reviews với body {"pedagogy": 0, "difficulty": 6, ...}
3. Kiểm tra response và trang chi tiết giảng viên.</t>
        </is>
      </c>
      <c r="I15" s="18" t="inlineStr">
        <is>
          <t>API trả về HTTP 400 Bad Request kèm thông báo "Điểm đánh giá phải từ 1 đến 5", từ chối lưu vào CSDL.</t>
        </is>
      </c>
      <c r="J15" s="18" t="inlineStr">
        <is>
          <t>API trả về HTTP 201 Created, lưu thành công điểm 0 và 6 vào CSDL, điểm tổng thể hiển thị bị sai lệch.</t>
        </is>
      </c>
      <c r="K15" s="17" t="inlineStr">
        <is>
          <t>screenshots/bugs/SEED-01_invalid_rating.png</t>
        </is>
      </c>
      <c r="L15" s="17" t="inlineStr">
        <is>
          <t>src/app/api/lecturers/[id]/reviews/route.ts</t>
        </is>
      </c>
      <c r="M15" s="18" t="inlineStr">
        <is>
          <t>Pre-seeded bug phục vụ kiểm thử giá trị biên (BVA) và kiểm thử API</t>
        </is>
      </c>
    </row>
    <row r="16" ht="40" customHeight="1">
      <c r="A16" s="19" t="inlineStr">
        <is>
          <t>SEED-02</t>
        </is>
      </c>
      <c r="B16" s="19" t="inlineStr">
        <is>
          <t>Functional</t>
        </is>
      </c>
      <c r="C16" s="20" t="inlineStr">
        <is>
          <t>Major</t>
        </is>
      </c>
      <c r="D16" s="21" t="inlineStr">
        <is>
          <t>FR-08 / FLOW-01</t>
        </is>
      </c>
      <c r="E16" s="22" t="inlineStr">
        <is>
          <t>Màn hình Chi tiết giảng viên (/professors/[id]); API POST /api/reviews/[id]/upvote</t>
        </is>
      </c>
      <c r="F16" s="22" t="inlineStr">
        <is>
          <t>FR-08: "Mỗi người dùng / phiên chỉ được upvote một lần cho mỗi đánh giá; không được spam upvote"</t>
        </is>
      </c>
      <c r="G16" s="22" t="inlineStr">
        <is>
          <t>Hệ thống cho phép upvote vô hạn lần khi gửi nhiều request liên tục mà không kiểm tra trùng lặp session/IP.</t>
        </is>
      </c>
      <c r="H16" s="22" t="inlineStr">
        <is>
          <t>1. Mở trang /professors/[id]
2. Bấm nút Hữu ích (Upvote) nhiều lần liên tiếp hoặc gửi liên tục POST /api/reviews/[id]/upvote
3. Quan sát số lượt vote.</t>
        </is>
      </c>
      <c r="I16" s="22" t="inlineStr">
        <is>
          <t>Chỉ tăng 1 lượt upvote, nút chuyển sang trạng thái đã vote và disable hoặc toggle downvote khi bấm lại.</t>
        </is>
      </c>
      <c r="J16" s="22" t="inlineStr">
        <is>
          <t>Số lượt upvote tăng liên tục mỗi lần click/request (ví dụ từ 5 lên 12 lượt), không có cơ chế chặn spam.</t>
        </is>
      </c>
      <c r="K16" s="21" t="inlineStr">
        <is>
          <t>screenshots/bugs/SEED-02_infinite_upvote.png</t>
        </is>
      </c>
      <c r="L16" s="21" t="inlineStr">
        <is>
          <t>src/app/api/reviews/[id]/upvote/route.ts</t>
        </is>
      </c>
      <c r="M16" s="22" t="inlineStr">
        <is>
          <t>Pre-seeded bug kiểm thử tính toàn vẹn dữ liệu và concurrency</t>
        </is>
      </c>
    </row>
    <row r="17" ht="40" customHeight="1">
      <c r="A17" s="15" t="inlineStr">
        <is>
          <t>SEED-03</t>
        </is>
      </c>
      <c r="B17" s="15" t="inlineStr">
        <is>
          <t>Functional</t>
        </is>
      </c>
      <c r="C17" s="15" t="inlineStr">
        <is>
          <t>Medium</t>
        </is>
      </c>
      <c r="D17" s="17" t="inlineStr">
        <is>
          <t>FR-02</t>
        </is>
      </c>
      <c r="E17" s="18" t="inlineStr">
        <is>
          <t>Bộ lọc tìm kiếm giảng viên theo trường (/professors?university=...)</t>
        </is>
      </c>
      <c r="F17" s="18" t="inlineStr">
        <is>
          <t>FR-02: "Bộ lọc theo Trường đại học phải trả về chính xác danh sách giảng viên thuộc trường đã chọn"</t>
        </is>
      </c>
      <c r="G17" s="18" t="inlineStr">
        <is>
          <t>Khi chọn bộ lọc trường Đại học Việt Nhật (VJU), kết quả trả về cả giảng viên thuộc Đại học Bách Khoa Hà Nội (HUST).</t>
        </is>
      </c>
      <c r="H17" s="18" t="inlineStr">
        <is>
          <t>1. Truy cập /professors
2. Tại dropdown "Trường đại học", chọn "Trường Đại học Việt Nhật (VJU)"
3. Quan sát danh sách giảng viên trả về.</t>
        </is>
      </c>
      <c r="I17" s="18" t="inlineStr">
        <is>
          <t>Chỉ hiển thị các giảng viên có thuộc tính universityId tương ứng VJU.</t>
        </is>
      </c>
      <c r="J17" s="18" t="inlineStr">
        <is>
          <t>Hiển thị lẫn lộn giảng viên của VJU và HUST do logic query SQL dùng OR lỏng lẻo thay vì AND.</t>
        </is>
      </c>
      <c r="K17" s="17" t="inlineStr">
        <is>
          <t>screenshots/bugs/SEED-03_filter_university.png</t>
        </is>
      </c>
      <c r="L17" s="17" t="inlineStr">
        <is>
          <t>src/lib/search/searchEngine.ts</t>
        </is>
      </c>
      <c r="M17" s="18" t="inlineStr">
        <is>
          <t>Pre-seeded bug kiểm thử logic lọc và phân hoạch tương đương (EP)</t>
        </is>
      </c>
    </row>
    <row r="18" ht="40" customHeight="1">
      <c r="A18" s="19" t="inlineStr">
        <is>
          <t>SEED-04</t>
        </is>
      </c>
      <c r="B18" s="19" t="inlineStr">
        <is>
          <t>Functional</t>
        </is>
      </c>
      <c r="C18" s="20" t="inlineStr">
        <is>
          <t>Major</t>
        </is>
      </c>
      <c r="D18" s="21" t="inlineStr">
        <is>
          <t>FR-01</t>
        </is>
      </c>
      <c r="E18" s="22" t="inlineStr">
        <is>
          <t>Thanh tìm kiếm toàn cục (Global Search Bar trên trang chủ và trang kết quả)</t>
        </is>
      </c>
      <c r="F18" s="22" t="inlineStr">
        <is>
          <t>FR-01: "Tìm kiếm hỗ trợ tiếng Việt không dấu (accent-insensitive) và trả về kết quả tương đương tiếng Việt có dấu"</t>
        </is>
      </c>
      <c r="G18" s="22" t="inlineStr">
        <is>
          <t>Khi gõ từ khóa không dấu (ví dụ "Nguyen Van A"), hệ thống trả về 0 kết quả mặc dù có giảng viên "Nguyễn Văn A".</t>
        </is>
      </c>
      <c r="H18" s="22" t="inlineStr">
        <is>
          <t>1. Mở trang chủ
2. Nhập vào ô tìm kiếm: "Nguyen Van"
3. Nhấn Enter hoặc nút Tìm kiếm.</t>
        </is>
      </c>
      <c r="I18" s="22" t="inlineStr">
        <is>
          <t>Hiển thị danh sách giảng viên mang họ "Nguyễn Văn" tương đương khi gõ "Nguyễn Văn".</t>
        </is>
      </c>
      <c r="J18" s="22" t="inlineStr">
        <is>
          <t>Báo "Không tìm thấy giảng viên phù hợp" (0 kết quả) do hàm chuẩn hóa tiếng Việt bị bypass.</t>
        </is>
      </c>
      <c r="K18" s="21" t="inlineStr">
        <is>
          <t>screenshots/bugs/SEED-04_accent_insensitive_search.png</t>
        </is>
      </c>
      <c r="L18" s="21" t="inlineStr">
        <is>
          <t>src/lib/search/vietnameseNormalizer.ts</t>
        </is>
      </c>
      <c r="M18" s="22" t="inlineStr">
        <is>
          <t>Pre-seeded bug ảnh hưởng nghiêm trọng đến trải nghiệm tìm kiếm</t>
        </is>
      </c>
    </row>
    <row r="19" ht="40" customHeight="1">
      <c r="A19" s="15" t="inlineStr">
        <is>
          <t>SEED-05</t>
        </is>
      </c>
      <c r="B19" s="15" t="inlineStr">
        <is>
          <t>Functional</t>
        </is>
      </c>
      <c r="C19" s="15" t="inlineStr">
        <is>
          <t>Medium</t>
        </is>
      </c>
      <c r="D19" s="17" t="inlineStr">
        <is>
          <t>FR-04</t>
        </is>
      </c>
      <c r="E19" s="18" t="inlineStr">
        <is>
          <t>Nút Lưu giảng viên (Bookmark) và Trang hồ sơ cá nhân / danh sách đã lưu</t>
        </is>
      </c>
      <c r="F19" s="18" t="inlineStr">
        <is>
          <t>FR-04: "Giảng viên được lưu (Bookmark) phải được lưu trữ bền vững trong LocalStorage/Database và tồn tại sau khi tải lại trang (F5)"</t>
        </is>
      </c>
      <c r="G19" s="18" t="inlineStr">
        <is>
          <t>Bấm Lưu giảng viên hiển thị badge đã lưu, nhưng khi nhấn F5 tải lại trang thì trạng thái lưu bị mất.</t>
        </is>
      </c>
      <c r="H19" s="18" t="inlineStr">
        <is>
          <t>1. Truy cập trang chi tiết một giảng viên
2. Bấm nút "Lưu giảng viên" (icon bookmark)
3. Tải lại trang (F5).</t>
        </is>
      </c>
      <c r="I19" s="18" t="inlineStr">
        <is>
          <t>Nút bookmark vẫn ở trạng thái "Đã lưu" và giảng viên hiển thị trong danh sách đã lưu.</t>
        </is>
      </c>
      <c r="J19" s="18" t="inlineStr">
        <is>
          <t>Nút bookmark quay về trạng thái chưa lưu, LocalStorage không được ghi dữ liệu do thiếu hàm persist.</t>
        </is>
      </c>
      <c r="K19" s="17" t="inlineStr">
        <is>
          <t>screenshots/bugs/SEED-05_bookmark_lost_on_reload.png</t>
        </is>
      </c>
      <c r="L19" s="17" t="inlineStr">
        <is>
          <t>src/lib/bookmarks.ts</t>
        </is>
      </c>
      <c r="M19" s="18" t="inlineStr">
        <is>
          <t>Pre-seeded bug kiểm thử State Transition (Chuyển trạng thái)</t>
        </is>
      </c>
    </row>
    <row r="20" ht="40" customHeight="1">
      <c r="A20" s="19" t="inlineStr">
        <is>
          <t>SEED-06</t>
        </is>
      </c>
      <c r="B20" s="19" t="inlineStr">
        <is>
          <t>Functional</t>
        </is>
      </c>
      <c r="C20" s="23" t="inlineStr">
        <is>
          <t>Critical</t>
        </is>
      </c>
      <c r="D20" s="21" t="inlineStr">
        <is>
          <t>FR-07 / FLOW-03</t>
        </is>
      </c>
      <c r="E20" s="22" t="inlineStr">
        <is>
          <t>Màn hình Admin (/admin) và API /api/correction-requests</t>
        </is>
      </c>
      <c r="F20" s="22" t="inlineStr">
        <is>
          <t>FR-07, SRS-SEC-01: "Chỉ tài khoản có vai trò Quản trị viên (Admin) mới có quyền truy cập /admin và phê duyệt yêu cầu sửa đổi"</t>
        </is>
      </c>
      <c r="G20" s="22" t="inlineStr">
        <is>
          <t>Khách (Guest / Unauthenticated) có thể truy cập trực tiếp URL /admin và thực hiện thao tác duyệt yêu cầu sửa đổi mà không bị chặn đăng nhập.</t>
        </is>
      </c>
      <c r="H20" s="22" t="inlineStr">
        <is>
          <t>1. Mở trình duyệt ở chế độ ẩn danh (chưa đăng nhập)
2. Truy cập trực tiếp link https://rateurprofs.site/admin
3. Thử bấm nút "Duyệt" một yêu cầu.</t>
        </is>
      </c>
      <c r="I20" s="22" t="inlineStr">
        <is>
          <t>Hệ thống chuyển hướng (redirect) về trang đăng nhập hoặc trả về HTTP 401/403 Forbidden.</t>
        </is>
      </c>
      <c r="J20" s="22" t="inlineStr">
        <is>
          <t>Giao diện /admin mở ra đầy đủ và API xử lý thao tác duyệt do thiếu middleware xác thực vai trò.</t>
        </is>
      </c>
      <c r="K20" s="21" t="inlineStr">
        <is>
          <t>screenshots/bugs/SEED-06_admin_auth_bypass.png</t>
        </is>
      </c>
      <c r="L20" s="21" t="inlineStr">
        <is>
          <t>src/app/admin/page.tsx</t>
        </is>
      </c>
      <c r="M20" s="22" t="inlineStr">
        <is>
          <t>Pre-seeded bug kiểm thử Phân quyền (RBAC) và Bảo mật hệ thống</t>
        </is>
      </c>
    </row>
    <row r="21" ht="40" customHeight="1">
      <c r="A21" s="15" t="inlineStr">
        <is>
          <t>SEED-07</t>
        </is>
      </c>
      <c r="B21" s="15" t="inlineStr">
        <is>
          <t>Visual</t>
        </is>
      </c>
      <c r="C21" s="15" t="inlineStr">
        <is>
          <t>Minor</t>
        </is>
      </c>
      <c r="D21" s="17" t="inlineStr">
        <is>
          <t>FR-05</t>
        </is>
      </c>
      <c r="E21" s="18" t="inlineStr">
        <is>
          <t>Danh sách đánh giá trên trang Chi tiết giảng viên (/professors/[id])</t>
        </is>
      </c>
      <c r="F21" s="18" t="inlineStr">
        <is>
          <t>FR-05, SRS-VIS-01: "Giao diện thẻ đánh giá hiển thị đơn nhất, không bị nhân bản hay giật layout khi tương tác"</t>
        </is>
      </c>
      <c r="G21" s="18" t="inlineStr">
        <is>
          <t>Sau khi bấm nút Upvote hoặc tương tác với card đánh giá, thẻ đánh giá đó bị nhân đôi hiển thị trên giao diện (duplicated card).</t>
        </is>
      </c>
      <c r="H21" s="18" t="inlineStr">
        <is>
          <t>1. Mở trang /professors/[id] có ít nhất 2 đánh giá
2. Bấm Upvote tại đánh giá đầu tiên
3. Cuộn nhẹ danh sách.</t>
        </is>
      </c>
      <c r="I21" s="18" t="inlineStr">
        <is>
          <t>Thẻ đánh giá giữ nguyên cấu trúc DOM, chỉ cập nhật số vote.</t>
        </is>
      </c>
      <c r="J21" s="18" t="inlineStr">
        <is>
          <t>Xuất hiện 2 thẻ đánh giá giống hệt nhau do lỗi key rendering trong React list.</t>
        </is>
      </c>
      <c r="K21" s="17" t="inlineStr">
        <is>
          <t>screenshots/bugs/SEED-07_duplicated_review_card.png</t>
        </is>
      </c>
      <c r="L21" s="17" t="inlineStr">
        <is>
          <t>src/components/ProfessorCard.tsx</t>
        </is>
      </c>
      <c r="M21" s="18" t="inlineStr">
        <is>
          <t>Pre-seeded bug kiểm thử UI/UX giao diện</t>
        </is>
      </c>
    </row>
    <row r="22" ht="40" customHeight="1">
      <c r="A22" s="19" t="inlineStr">
        <is>
          <t>SEED-08</t>
        </is>
      </c>
      <c r="B22" s="19" t="inlineStr">
        <is>
          <t>Visual</t>
        </is>
      </c>
      <c r="C22" s="19" t="inlineStr">
        <is>
          <t>Medium</t>
        </is>
      </c>
      <c r="D22" s="21" t="inlineStr">
        <is>
          <t>NFR-04</t>
        </is>
      </c>
      <c r="E22" s="22" t="inlineStr">
        <is>
          <t>Trang chủ và Trang danh sách trường (/universities) trên màn hình mobile 375px</t>
        </is>
      </c>
      <c r="F22" s="22" t="inlineStr">
        <is>
          <t>NFR-04: "Giao diện responsive hoàn chỉnh từ màn hình 375px đến 1920px, không xuất hiện thanh cuộn ngang (horizontal scrollbar)"</t>
        </is>
      </c>
      <c r="G22" s="22" t="inlineStr">
        <is>
          <t>Trên viewport 375px (iPhone SE / iPhone 12 mini), banner hoặc bảng dữ liệu tràn viền 45px gây thanh cuộn ngang khó chịu.</t>
        </is>
      </c>
      <c r="H22" s="22" t="inlineStr">
        <is>
          <t>1. Bật F12 DevTools chọn chế độ thiết bị Mobile viewport 375x667
2. Truy cập trang chủ và trang /universities
3. Vuốt sang phải.</t>
        </is>
      </c>
      <c r="I22" s="22" t="inlineStr">
        <is>
          <t>Tất cả nội dung nằm trọn trong chiều rộng 375px, không có thanh cuộn ngang.</t>
        </is>
      </c>
      <c r="J22" s="22" t="inlineStr">
        <is>
          <t>Thanh cuộn ngang xuất hiện, trang bị lệch sang phải do class w-full kèm min-w-[420px] cố định.</t>
        </is>
      </c>
      <c r="K22" s="21" t="inlineStr">
        <is>
          <t>screenshots/bugs/SEED-08_mobile_overflow_375px.png</t>
        </is>
      </c>
      <c r="L22" s="21" t="inlineStr">
        <is>
          <t>src/components/home/CampusIllustrationBanner.tsx</t>
        </is>
      </c>
      <c r="M22" s="22" t="inlineStr">
        <is>
          <t>Pre-seeded bug kiểm thử Responsive trên thiết bị di động</t>
        </is>
      </c>
    </row>
    <row r="23" ht="40" customHeight="1">
      <c r="A23" s="15" t="inlineStr">
        <is>
          <t>SEED-09</t>
        </is>
      </c>
      <c r="B23" s="15" t="inlineStr">
        <is>
          <t>Visual</t>
        </is>
      </c>
      <c r="C23" s="15" t="inlineStr">
        <is>
          <t>Minor</t>
        </is>
      </c>
      <c r="D23" s="17" t="inlineStr">
        <is>
          <t>FR-03</t>
        </is>
      </c>
      <c r="E23" s="18" t="inlineStr">
        <is>
          <t>Trang Chi tiết giảng viên (/professors/[id]) và Thẻ kết quả tìm kiếm</t>
        </is>
      </c>
      <c r="F23" s="18" t="inlineStr">
        <is>
          <t>FR-03, SRS-VIS-02: "Ảnh đại diện giảng viên phải giữ tỷ lệ khung hình chuẩn 1:1, không bị méo mó, co giãn bất thường"</t>
        </is>
      </c>
      <c r="G23" s="18" t="inlineStr">
        <is>
          <t>Avatar giảng viên bị co giãn méo hình (aspect ratio distortion) khi ảnh gốc có tỷ lệ không vuông (ví dụ 16:9 hoặc 3:4).</t>
        </is>
      </c>
      <c r="H23" s="18" t="inlineStr">
        <is>
          <t>1. Mở trang giảng viên có avatar dạng chữ nhật
2. Quan sát khung ảnh avatar.</t>
        </is>
      </c>
      <c r="I23" s="18" t="inlineStr">
        <is>
          <t>Ảnh được cắt cúp tròn đều hoặc vuông đều với object-fit: cover, không biến dạng khuôn mặt.</t>
        </is>
      </c>
      <c r="J23" s="18" t="inlineStr">
        <is>
          <t>Ảnh bị dẹt ngang hoặc kéo dài dọc do thiếu thuộc tính object-cover và cố định width/height không đồng nhất.</t>
        </is>
      </c>
      <c r="K23" s="17" t="inlineStr">
        <is>
          <t>screenshots/bugs/SEED-09_avatar_aspect_distortion.png</t>
        </is>
      </c>
      <c r="L23" s="17" t="inlineStr">
        <is>
          <t>src/components/ProfessorRow.tsx</t>
        </is>
      </c>
      <c r="M23" s="18" t="inlineStr">
        <is>
          <t>Pre-seeded bug thẩm mỹ giao diện người dùng</t>
        </is>
      </c>
    </row>
    <row r="24" ht="40" customHeight="1">
      <c r="A24" s="19" t="inlineStr">
        <is>
          <t>SEED-10</t>
        </is>
      </c>
      <c r="B24" s="19" t="inlineStr">
        <is>
          <t>Content</t>
        </is>
      </c>
      <c r="C24" s="20" t="inlineStr">
        <is>
          <t>Major</t>
        </is>
      </c>
      <c r="D24" s="21" t="inlineStr">
        <is>
          <t>FR-04</t>
        </is>
      </c>
      <c r="E24" s="22" t="inlineStr">
        <is>
          <t>Trang Giảng viên đã lưu (/saved-professors hoặc Drawer danh sách đã lưu)</t>
        </is>
      </c>
      <c r="F24" s="22" t="inlineStr">
        <is>
          <t>FR-04: "Danh sách giảng viên đã lưu phải hiển thị chính xác tên, học hàm, đơn vị công tác của từng giảng viên tương ứng"</t>
        </is>
      </c>
      <c r="G24" s="22" t="inlineStr">
        <is>
          <t>Khi lưu 2 giảng viên trở lên, thông tin trường/khoa của giảng viên thứ nhất bị hoán đổi (cross-swapped) sang giảng viên thứ hai.</t>
        </is>
      </c>
      <c r="H24" s="22" t="inlineStr">
        <is>
          <t>1. Lưu Giảng viên A (Đại học Quốc gia Hà Nội)
2. Lưu Giảng viên B (Trường ĐH Bách Khoa)
3. Mở danh sách đã lưu.</t>
        </is>
      </c>
      <c r="I24" s="22" t="inlineStr">
        <is>
          <t>Giảng viên A hiển thị trường ĐHQGHN, Giảng viên B hiển thị trường ĐHBK.</t>
        </is>
      </c>
      <c r="J24" s="22" t="inlineStr">
        <is>
          <t>Giảng viên A bị gán nhãn trường ĐHBK và ngược lại do nhầm lẫn chỉ mục index trong mảng lưu trữ.</t>
        </is>
      </c>
      <c r="K24" s="21" t="inlineStr">
        <is>
          <t>screenshots/bugs/SEED-10_saved_professors_cross_swapped.png</t>
        </is>
      </c>
      <c r="L24" s="21" t="inlineStr">
        <is>
          <t>src/lib/bookmarks.ts</t>
        </is>
      </c>
      <c r="M24" s="22" t="inlineStr">
        <is>
          <t>Pre-seeded bug sai lệch nội dung dữ liệu quan trọng</t>
        </is>
      </c>
    </row>
    <row r="25" ht="40" customHeight="1">
      <c r="A25" s="15" t="inlineStr">
        <is>
          <t>SEED-11</t>
        </is>
      </c>
      <c r="B25" s="15" t="inlineStr">
        <is>
          <t>Content</t>
        </is>
      </c>
      <c r="C25" s="15" t="inlineStr">
        <is>
          <t>Medium</t>
        </is>
      </c>
      <c r="D25" s="17" t="inlineStr">
        <is>
          <t>FR-11</t>
        </is>
      </c>
      <c r="E25" s="18" t="inlineStr">
        <is>
          <t>Thanh chuyển đổi ngôn ngữ (Language Switcher: VI / EN)</t>
        </is>
      </c>
      <c r="F25" s="18" t="inlineStr">
        <is>
          <t>FR-11: "Chuyển đổi ngôn ngữ phải bảo toàn nguyên vẹn tham số tìm kiếm, từ khóa và bộ lọc hiện tại trên URL"</t>
        </is>
      </c>
      <c r="G25" s="18" t="inlineStr">
        <is>
          <t>Khi đang ở trang kết quả tìm kiếm /professors?q=Hoa&amp;dept=IT, bấm chuyển sang EN thì URL bị reset về /en/professors và mất sạch từ khóa lẫn bộ lọc.</t>
        </is>
      </c>
      <c r="H25" s="18" t="inlineStr">
        <is>
          <t>1. Tìm kiếm với từ khóa "Hóa" tại /professors?q=Hoa
2. Bấm nút chuyển ngôn ngữ "EN" trên Header.</t>
        </is>
      </c>
      <c r="I25" s="18" t="inlineStr">
        <is>
          <t>Chuyển sang /en/professors?q=Hoa, giữ nguyên kết quả tìm kiếm với giao diện tiếng Anh.</t>
        </is>
      </c>
      <c r="J25" s="18" t="inlineStr">
        <is>
          <t>URL chuyển thành /en/professors, mất param ?q=Hoa, danh sách tải lại từ đầu.</t>
        </is>
      </c>
      <c r="K25" s="17" t="inlineStr">
        <is>
          <t>screenshots/bugs/SEED-11_lang_switch_resets_params.png</t>
        </is>
      </c>
      <c r="L25" s="17" t="inlineStr">
        <is>
          <t>src/components/LanguageSwitcher.tsx</t>
        </is>
      </c>
      <c r="M25" s="18" t="inlineStr">
        <is>
          <t>Pre-seeded bug kiểm thử đa ngôn ngữ (i18n)</t>
        </is>
      </c>
    </row>
    <row r="26" ht="40" customHeight="1">
      <c r="A26" s="19" t="inlineStr">
        <is>
          <t>SEED-12</t>
        </is>
      </c>
      <c r="B26" s="19" t="inlineStr">
        <is>
          <t>Content</t>
        </is>
      </c>
      <c r="C26" s="19" t="inlineStr">
        <is>
          <t>Minor</t>
        </is>
      </c>
      <c r="D26" s="21" t="inlineStr">
        <is>
          <t>FR-11</t>
        </is>
      </c>
      <c r="E26" s="22" t="inlineStr">
        <is>
          <t>Form Đánh giá giảng viên trên giao diện Tiếng Anh (/en/professors/[id]/rate)</t>
        </is>
      </c>
      <c r="F26" s="22" t="inlineStr">
        <is>
          <t>FR-11: "Toàn bộ nhãn, thông báo và tiêu đề trên giao diện tiếng Anh phải được bản địa hóa 100% sang tiếng Anh"</t>
        </is>
      </c>
      <c r="G26" s="22" t="inlineStr">
        <is>
          <t>Trên giao diện tiếng Anh, nhãn tiêu chí "Tính công bằng khi chấm điểm" và nút "Gửi đánh giá" vẫn hiển thị tiếng Việt thô.</t>
        </is>
      </c>
      <c r="H26" s="22" t="inlineStr">
        <is>
          <t>1. Chuyển sang ngôn ngữ EN
2. Truy cập form đánh giá một giảng viên
3. Kiểm tra các trường nhãn.</t>
        </is>
      </c>
      <c r="I26" s="22" t="inlineStr">
        <is>
          <t>Hiển thị "Grading Fairness" và "Submit Review".</t>
        </is>
      </c>
      <c r="J26" s="22" t="inlineStr">
        <is>
          <t>Hiển thị "Tính công bằng khi chấm điểm" và "Gửi đánh giá" do hardcode chuỗi text trong component.</t>
        </is>
      </c>
      <c r="K26" s="21" t="inlineStr">
        <is>
          <t>screenshots/bugs/SEED-12_hardcoded_vietnamese_labels.png</t>
        </is>
      </c>
      <c r="L26" s="21" t="inlineStr">
        <is>
          <t>src/app/professors/[id]/rate/RateProfessorClient.tsx</t>
        </is>
      </c>
      <c r="M26" s="22" t="inlineStr">
        <is>
          <t>Pre-seeded bug kiểm thử tính nhất quán nội dung</t>
        </is>
      </c>
    </row>
    <row r="27" ht="40" customHeight="1">
      <c r="A27" s="15" t="inlineStr">
        <is>
          <t>SEED-13</t>
        </is>
      </c>
      <c r="B27" s="15" t="inlineStr">
        <is>
          <t>Performance</t>
        </is>
      </c>
      <c r="C27" s="16" t="inlineStr">
        <is>
          <t>Major</t>
        </is>
      </c>
      <c r="D27" s="17" t="inlineStr">
        <is>
          <t>NFR-01</t>
        </is>
      </c>
      <c r="E27" s="18" t="inlineStr">
        <is>
          <t>API tìm kiếm giảng viên: GET /api/search</t>
        </is>
      </c>
      <c r="F27" s="18" t="inlineStr">
        <is>
          <t>NFR-01: "Thời gian phản hồi P90 của API tìm kiếm ≤ 2.0 giây với 20 người dùng đồng thời (20 concurrent threads)"</t>
        </is>
      </c>
      <c r="G27" s="18" t="inlineStr">
        <is>
          <t>Khi chạy tải với 20 concurrent threads bằng JMeter, thời gian phản hồi P90 của API tìm kiếm tăng vọt lên 4.82 giây, vượt ngưỡng cho phép 2.0s.</t>
        </is>
      </c>
      <c r="H27" s="18" t="inlineStr">
        <is>
          <t>1. Mở JMeter, cấu hình Thread Group: 20 threads, ramp-up 30s, loop 10
2. Gửi request GET /api/search?q=Nguyen
3. Xuất HTML dashboard.</t>
        </is>
      </c>
      <c r="I27" s="18" t="inlineStr">
        <is>
          <t>Response time P90 ≤ 2.0s, Error Rate = 0%.</t>
        </is>
      </c>
      <c r="J27" s="18" t="inlineStr">
        <is>
          <t>Response time P90 = 4.82s, P95 = 5.31s do query full-table scan thiếu chỉ mục index trên cột normalized_name.</t>
        </is>
      </c>
      <c r="K27" s="17" t="inlineStr">
        <is>
          <t>screenshots/bugs/SEED-13_jmeter_search_p90_bottleneck.png</t>
        </is>
      </c>
      <c r="L27" s="17" t="inlineStr">
        <is>
          <t>src/lib/server/sqliteClient.ts</t>
        </is>
      </c>
      <c r="M27" s="18" t="inlineStr">
        <is>
          <t>Pre-seeded bug kiểm thử hiệu năng tải JMeter</t>
        </is>
      </c>
    </row>
    <row r="28" ht="40" customHeight="1">
      <c r="A28" s="19" t="inlineStr">
        <is>
          <t>SEED-14</t>
        </is>
      </c>
      <c r="B28" s="19" t="inlineStr">
        <is>
          <t>Performance</t>
        </is>
      </c>
      <c r="C28" s="19" t="inlineStr">
        <is>
          <t>Medium</t>
        </is>
      </c>
      <c r="D28" s="21" t="inlineStr">
        <is>
          <t>NFR-02</t>
        </is>
      </c>
      <c r="E28" s="22" t="inlineStr">
        <is>
          <t>Trang chủ (Homepage: /)</t>
        </is>
      </c>
      <c r="F28" s="22" t="inlineStr">
        <is>
          <t>NFR-02: "Chỉ số Largest Contentful Paint (LCP) trên mạng 4G tiêu chuẩn phải ≤ 2.5 giây theo chuẩn Web Vitals"</t>
        </is>
      </c>
      <c r="G28" s="22" t="inlineStr">
        <is>
          <t>Chỉ số LCP đo được bằng Lighthouse / DevTools Performance lên tới 5.4 giây do ảnh banner chưa tối ưu kích thước (3.8MB PNG không nén).</t>
        </is>
      </c>
      <c r="H28" s="22" t="inlineStr">
        <is>
          <t>1. Mở Chrome DevTools tab Lighthouse hoặc Network (Throttling: Fast 4G)
2. Tải trang chủ https://rateurprofs.site
3. Đọc chỉ số LCP.</t>
        </is>
      </c>
      <c r="I28" s="22" t="inlineStr">
        <is>
          <t>LCP ≤ 2.5s, Performance Score ≥ 80.</t>
        </is>
      </c>
      <c r="J28" s="22" t="inlineStr">
        <is>
          <t>LCP = 5.4s do file ảnh banner dung lượng quá lớn tải chậm, chặn quá trình render chính.</t>
        </is>
      </c>
      <c r="K28" s="21" t="inlineStr">
        <is>
          <t>screenshots/bugs/SEED-14_lcp_lighthouse_slow.png</t>
        </is>
      </c>
      <c r="L28" s="21" t="inlineStr">
        <is>
          <t>src/components/home/CampusIllustrationBanner.tsx</t>
        </is>
      </c>
      <c r="M28" s="22" t="inlineStr">
        <is>
          <t>Pre-seeded bug kiểm thử hiệu năng tải trang Web Vitals</t>
        </is>
      </c>
    </row>
    <row r="29" ht="40" customHeight="1">
      <c r="A29" s="15" t="inlineStr">
        <is>
          <t>SEED-15</t>
        </is>
      </c>
      <c r="B29" s="15" t="inlineStr">
        <is>
          <t>Crash</t>
        </is>
      </c>
      <c r="C29" s="24" t="inlineStr">
        <is>
          <t>Critical</t>
        </is>
      </c>
      <c r="D29" s="17" t="inlineStr">
        <is>
          <t>FR-06 / NFR-05</t>
        </is>
      </c>
      <c r="E29" s="18" t="inlineStr">
        <is>
          <t>API gửi đánh giá: POST /api/lecturers/[id]/reviews</t>
        </is>
      </c>
      <c r="F29" s="18" t="inlineStr">
        <is>
          <t>NFR-05: "Hệ thống phải xử lý an toàn mọi payload không hợp lệ, không bao giờ sập unhandled exception hoặc trả HTTP 500 Internal Server Error"</t>
        </is>
      </c>
      <c r="G29" s="18" t="inlineStr">
        <is>
          <t>Gửi body JSON thiếu thuộc tính cơ bản hoặc payload rỗng khiến server crash unhandled exception và trả về HTTP 500 Internal Server Error.</t>
        </is>
      </c>
      <c r="H29" s="18" t="inlineStr">
        <is>
          <t>1. Gửi request POST /api/lecturers/lec_001/reviews với body rỗng {} hoặc rỗng Content-Type
2. Quan sát response của server.</t>
        </is>
      </c>
      <c r="I29" s="18" t="inlineStr">
        <is>
          <t>API bắt lỗi và trả về HTTP 400 Bad Request kèm message "Dữ liệu yêu cầu không hợp lệ".</t>
        </is>
      </c>
      <c r="J29" s="18" t="inlineStr">
        <is>
          <t>Server trả về HTTP 500 Internal Server Error kèm log TypeError: Cannot read properties of undefined (reading 'pedagogy').</t>
        </is>
      </c>
      <c r="K29" s="17" t="inlineStr">
        <is>
          <t>screenshots/bugs/SEED-15_crash_http_500.png</t>
        </is>
      </c>
      <c r="L29" s="17" t="inlineStr">
        <is>
          <t>src/app/api/lecturers/[id]/reviews/route.ts</t>
        </is>
      </c>
      <c r="M29" s="18" t="inlineStr">
        <is>
          <t>Pre-seeded bug kiểm thử tính chịu lỗi (Fault tolerance) &amp; Negative test</t>
        </is>
      </c>
    </row>
    <row r="30" ht="40" customHeight="1">
      <c r="A30" s="19" t="inlineStr">
        <is>
          <t>SEED-16</t>
        </is>
      </c>
      <c r="B30" s="19" t="inlineStr">
        <is>
          <t>Crash</t>
        </is>
      </c>
      <c r="C30" s="20" t="inlineStr">
        <is>
          <t>Major</t>
        </is>
      </c>
      <c r="D30" s="21" t="inlineStr">
        <is>
          <t>FR-01 / NFR-06</t>
        </is>
      </c>
      <c r="E30" s="22" t="inlineStr">
        <is>
          <t>Màn hình Tìm kiếm (/professors)</t>
        </is>
      </c>
      <c r="F30" s="22" t="inlineStr">
        <is>
          <t>NFR-06: "Ứng dụng phải có cơ chế ngắt timeout và hiển thị thông báo lỗi thân thiện khi mất kết nối mạng, không được đóng băng giao diện (freeze/infinite loading)"</t>
        </is>
      </c>
      <c r="G30" s="22" t="inlineStr">
        <is>
          <t>Khi client mất kết nối mạng đột ngột trong lúc gửi request tìm kiếm, giao diện xoay vòng loading mãi mãi và treo đơ trình duyệt.</t>
        </is>
      </c>
      <c r="H30" s="22" t="inlineStr">
        <is>
          <t>1. Nhập từ khóa tìm kiếm
2. Trong DevTools Network tab chọn "Offline"
3. Bấm Tìm kiếm.</t>
        </is>
      </c>
      <c r="I30" s="22" t="inlineStr">
        <is>
          <t>Sau 5 giây timeout, spinner dừng lại, hiển thị toast/banner "Không thể kết nối máy chủ, vui lòng kiểm tra đường truyền".</t>
        </is>
      </c>
      <c r="J30" s="22" t="inlineStr">
        <is>
          <t>Spinner quay vô hạn, nút tìm kiếm bị disable vĩnh viễn, người dùng không thể thao tác tiếp nếu không F5.</t>
        </is>
      </c>
      <c r="K30" s="21" t="inlineStr">
        <is>
          <t>screenshots/bugs/SEED-16_infinite_spinner_freeze.png</t>
        </is>
      </c>
      <c r="L30" s="21" t="inlineStr">
        <is>
          <t>src/components/search/SearchBar.tsx</t>
        </is>
      </c>
      <c r="M30" s="22" t="inlineStr">
        <is>
          <t>Pre-seeded bug kiểm thử khả năng xử lý ngoại lệ mạng</t>
        </is>
      </c>
    </row>
  </sheetData>
  <mergeCells count="11">
    <mergeCell ref="A13:M13"/>
    <mergeCell ref="C6:D6"/>
    <mergeCell ref="A1:M1"/>
    <mergeCell ref="C7:D7"/>
    <mergeCell ref="C10:D10"/>
    <mergeCell ref="C5:D5"/>
    <mergeCell ref="F12:I12"/>
    <mergeCell ref="C9:D9"/>
    <mergeCell ref="A2:M2"/>
    <mergeCell ref="C8:D8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2026-10-28T03:17:28Z</dcterms:created>
  <dcterms:modified xmlns:dcterms="http://purl.org/dc/terms/" xmlns:xsi="http://www.w3.org/2001/XMLSchema-instance" xsi:type="dcterms:W3CDTF">2026-10-28T03:17:28Z</dcterms:modified>
</cp:coreProperties>
</file>
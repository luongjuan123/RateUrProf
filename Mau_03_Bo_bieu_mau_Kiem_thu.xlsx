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Review_SRS" sheetId="2" state="visible" r:id="rId2"/>
    <sheet xmlns:r="http://schemas.openxmlformats.org/officeDocument/2006/relationships" name="TC_Chuc_nang" sheetId="3" state="visible" r:id="rId3"/>
    <sheet xmlns:r="http://schemas.openxmlformats.org/officeDocument/2006/relationships" name="TC_Phi_chuc_nang" sheetId="4" state="visible" r:id="rId4"/>
    <sheet xmlns:r="http://schemas.openxmlformats.org/officeDocument/2006/relationships" name="Test_Log" sheetId="5" state="visible" r:id="rId5"/>
    <sheet xmlns:r="http://schemas.openxmlformats.org/officeDocument/2006/relationships" name="Bug_Report" sheetId="6" state="visible" r:id="rId6"/>
    <sheet xmlns:r="http://schemas.openxmlformats.org/officeDocument/2006/relationships" name="Tong_ho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b val="1"/>
      <color rgb="001F4E79"/>
      <sz val="15"/>
    </font>
    <font>
      <name val="Times New Roman"/>
      <i val="1"/>
      <color rgb="00595959"/>
      <sz val="10"/>
    </font>
    <font>
      <name val="Times New Roman"/>
      <b val="1"/>
      <sz val="10"/>
    </font>
    <font>
      <name val="Times New Roman"/>
      <sz val="10"/>
    </font>
    <font>
      <name val="Times New Roman"/>
      <b val="1"/>
      <color rgb="001F4E79"/>
      <sz val="11"/>
    </font>
    <font>
      <name val="Times New Roman"/>
      <i val="1"/>
      <color rgb="00595959"/>
      <sz val="9"/>
    </font>
    <font>
      <name val="Times New Roman"/>
      <b val="1"/>
      <color rgb="00FFFFFF"/>
      <sz val="10"/>
    </font>
    <font>
      <name val="Times New Roman"/>
      <b val="1"/>
      <color rgb="00375623"/>
      <sz val="10"/>
    </font>
    <font>
      <name val="Times New Roman"/>
      <b val="1"/>
      <color rgb="00C00000"/>
      <sz val="10"/>
    </font>
    <font>
      <name val="Times New Roman"/>
      <b val="1"/>
      <color rgb="00ED7D31"/>
      <sz val="10"/>
    </font>
  </fonts>
  <fills count="6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1F4E79"/>
        <bgColor rgb="001F4E79"/>
      </patternFill>
    </fill>
    <fill>
      <patternFill patternType="solid">
        <fgColor rgb="00F9F9F9"/>
        <bgColor rgb="00F9F9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4" fillId="0" borderId="1" pivotButton="0" quotePrefix="0" xfId="0"/>
    <xf numFmtId="0" fontId="6" fillId="0" borderId="0" pivotButton="0" quotePrefix="0" xfId="0"/>
    <xf numFmtId="0" fontId="7" fillId="4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5" customWidth="1" min="3" max="3"/>
    <col width="25" customWidth="1" min="4" max="4"/>
    <col width="25" customWidth="1" min="5" max="5"/>
    <col width="35" customWidth="1" min="6" max="6"/>
  </cols>
  <sheetData>
    <row r="1" ht="28" customHeight="1">
      <c r="A1" s="1" t="inlineStr">
        <is>
          <t>BỘ BIỂU MẪU KIỂM THỬ – VAI TESTER</t>
        </is>
      </c>
    </row>
    <row r="2">
      <c r="A2" s="2" t="inlineStr">
        <is>
          <t>Học phần Đánh giá hiệu năng · Dùng cho hệ thống của bạn cặp</t>
        </is>
      </c>
    </row>
    <row r="4" ht="20" customHeight="1">
      <c r="B4" s="3" t="inlineStr">
        <is>
          <t>Tester – Họ và tên</t>
        </is>
      </c>
      <c r="C4" s="4" t="inlineStr">
        <is>
          <t>Lương Chí Dũng</t>
        </is>
      </c>
      <c r="D4" s="5" t="n"/>
      <c r="E4" s="5" t="n"/>
    </row>
    <row r="5" ht="20" customHeight="1">
      <c r="B5" s="3" t="inlineStr">
        <is>
          <t>Tester – MSSV</t>
        </is>
      </c>
      <c r="C5" s="4" t="inlineStr">
        <is>
          <t>24110215</t>
        </is>
      </c>
      <c r="D5" s="5" t="n"/>
      <c r="E5" s="5" t="n"/>
    </row>
    <row r="6" ht="20" customHeight="1">
      <c r="B6" s="3" t="inlineStr">
        <is>
          <t>Lớp</t>
        </is>
      </c>
      <c r="C6" s="4" t="inlineStr">
        <is>
          <t>BCSE2024 - Trường Đại học Việt Nhật (VJU)</t>
        </is>
      </c>
      <c r="D6" s="5" t="n"/>
      <c r="E6" s="5" t="n"/>
    </row>
    <row r="7" ht="20" customHeight="1">
      <c r="B7" s="3" t="inlineStr">
        <is>
          <t>Hệ thống được kiểm thử</t>
        </is>
      </c>
      <c r="C7" s="4" t="inlineStr">
        <is>
          <t>RateProfCuaBan (RateUrProf)</t>
        </is>
      </c>
      <c r="D7" s="5" t="n"/>
      <c r="E7" s="5" t="n"/>
    </row>
    <row r="8" ht="20" customHeight="1">
      <c r="B8" s="3" t="inlineStr">
        <is>
          <t>Chủ hệ thống – Họ tên, MSSV</t>
        </is>
      </c>
      <c r="C8" s="4" t="inlineStr">
        <is>
          <t>Lương Chí Dũng - 24110215</t>
        </is>
      </c>
      <c r="D8" s="5" t="n"/>
      <c r="E8" s="5" t="n"/>
    </row>
    <row r="9" ht="20" customHeight="1">
      <c r="B9" s="3" t="inlineStr">
        <is>
          <t>Link sản phẩm</t>
        </is>
      </c>
      <c r="C9" s="4" t="inlineStr">
        <is>
          <t>https://rateurprofs.site</t>
        </is>
      </c>
      <c r="D9" s="5" t="n"/>
      <c r="E9" s="5" t="n"/>
    </row>
    <row r="10" ht="20" customHeight="1">
      <c r="B10" s="3" t="inlineStr">
        <is>
          <t>Phiên bản SRS dùng làm căn cứ</t>
        </is>
      </c>
      <c r="C10" s="4" t="inlineStr">
        <is>
          <t>SRS v1.2 (bản chốt sau review)</t>
        </is>
      </c>
      <c r="D10" s="5" t="n"/>
      <c r="E10" s="5" t="n"/>
    </row>
    <row r="11" ht="20" customHeight="1">
      <c r="B11" s="3" t="inlineStr">
        <is>
          <t>Thời gian kiểm thử (từ – đến)</t>
        </is>
      </c>
      <c r="C11" s="4" t="inlineStr">
        <is>
          <t>05/10/2026 – 26/10/2026</t>
        </is>
      </c>
      <c r="D11" s="5" t="n"/>
      <c r="E11" s="5" t="n"/>
    </row>
    <row r="13">
      <c r="B13" s="6" t="inlineStr">
        <is>
          <t>CÁC SHEET TRONG FILE</t>
        </is>
      </c>
    </row>
    <row r="14" ht="22" customHeight="1">
      <c r="B14" s="3" t="inlineStr">
        <is>
          <t>Review_SRS</t>
        </is>
      </c>
      <c r="C14" s="7" t="inlineStr">
        <is>
          <t>Phiếu review SRS (tuần 5). Chủ hệ thống điền 2 cột phản hồi cuối.</t>
        </is>
      </c>
    </row>
    <row r="15" ht="22" customHeight="1">
      <c r="B15" s="3" t="inlineStr">
        <is>
          <t>TC_Chuc_nang</t>
        </is>
      </c>
      <c r="C15" s="7" t="inlineStr">
        <is>
          <t>Test case chức năng, luồng E2E và phân quyền. Tối thiểu 60 case, phủ hết chức năng và 3 luồng.</t>
        </is>
      </c>
    </row>
    <row r="16" ht="22" customHeight="1">
      <c r="B16" s="3" t="inlineStr">
        <is>
          <t>TC_Phi_chuc_nang</t>
        </is>
      </c>
      <c r="C16" s="7" t="inlineStr">
        <is>
          <t>Test case phi chức năng. Tối thiểu 10 case, phủ hết NFR trong SRS.</t>
        </is>
      </c>
    </row>
    <row r="17" ht="22" customHeight="1">
      <c r="B17" s="3" t="inlineStr">
        <is>
          <t>Test_Log</t>
        </is>
      </c>
      <c r="C17" s="7" t="inlineStr">
        <is>
          <t>Nhật ký mỗi phiên thực thi: thời gian, môi trường, phạm vi đã chạy, kết quả.</t>
        </is>
      </c>
    </row>
    <row r="18" ht="22" customHeight="1">
      <c r="B18" s="3" t="inlineStr">
        <is>
          <t>Bug_Report</t>
        </is>
      </c>
      <c r="C18" s="7" t="inlineStr">
        <is>
          <t>Danh sách lỗi. Mỗi lỗi ghi rõ 1 trong 5 loại: Functional, Visual, Content, Performance, Crash.</t>
        </is>
      </c>
    </row>
    <row r="19" ht="22" customHeight="1">
      <c r="B19" s="3" t="inlineStr">
        <is>
          <t>Tong_hop</t>
        </is>
      </c>
      <c r="C19" s="7" t="inlineStr">
        <is>
          <t>Tự tính số liệu để đưa vào Test Summary Report. Không cần điền.</t>
        </is>
      </c>
    </row>
    <row r="21">
      <c r="A21" s="8" t="inlineStr">
        <is>
          <t>Chú thích: ô nền vàng nhạt = sinh viên điền; dòng chữ xám nghiêng ở đầu mỗi bảng = VÍ DỤ, ghi đè hoặc xoá khi làm; cột có mũi tên = chọn từ danh sách.</t>
        </is>
      </c>
    </row>
  </sheetData>
  <mergeCells count="17">
    <mergeCell ref="C18:F18"/>
    <mergeCell ref="C11:E11"/>
    <mergeCell ref="A1:G1"/>
    <mergeCell ref="C17:F17"/>
    <mergeCell ref="C5:E5"/>
    <mergeCell ref="A21:G21"/>
    <mergeCell ref="C8:E8"/>
    <mergeCell ref="C9:E9"/>
    <mergeCell ref="C4:E4"/>
    <mergeCell ref="C16:F16"/>
    <mergeCell ref="A2:G2"/>
    <mergeCell ref="C15:F15"/>
    <mergeCell ref="C7:E7"/>
    <mergeCell ref="C19:F19"/>
    <mergeCell ref="C14:F14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8" customWidth="1" min="3" max="3"/>
    <col width="32" customWidth="1" min="4" max="4"/>
    <col width="20" customWidth="1" min="5" max="5"/>
    <col width="14" customWidth="1" min="6" max="6"/>
    <col width="32" customWidth="1" min="7" max="7"/>
    <col width="18" customWidth="1" min="8" max="8"/>
    <col width="28" customWidth="1" min="9" max="9"/>
  </cols>
  <sheetData>
    <row r="1">
      <c r="A1" s="1" t="inlineStr">
        <is>
          <t>PHIẾU REVIEW SRS</t>
        </is>
      </c>
    </row>
    <row r="2">
      <c r="A2" s="2" t="inlineStr">
        <is>
          <t>Tester kiểm tra từng yêu cầu: rõ ràng? kiểm thử được? đầy đủ? nhất quán? Chủ hệ thống điền 2 cột cuối rồi cập nhật SRS.</t>
        </is>
      </c>
    </row>
    <row r="3">
      <c r="A3" s="8" t="inlineStr">
        <is>
          <t>Chú thích: ô nền vàng nhạt = sinh viên điền; dòng chữ xám nghiêng = VÍ DỤ, ghi đè hoặc xoá khi làm; cột có mũi tên = chọn từ danh sách.</t>
        </is>
      </c>
    </row>
    <row r="4" ht="26" customHeight="1">
      <c r="A4" s="9" t="inlineStr">
        <is>
          <t>STT</t>
        </is>
      </c>
      <c r="B4" s="9" t="inlineStr">
        <is>
          <t>Vị trí trong SRS (mục / mã yêu cầu)</t>
        </is>
      </c>
      <c r="C4" s="9" t="inlineStr">
        <is>
          <t>Nội dung trích từ SRS</t>
        </is>
      </c>
      <c r="D4" s="9" t="inlineStr">
        <is>
          <t>Vấn đề phát hiện</t>
        </is>
      </c>
      <c r="E4" s="9" t="inlineStr">
        <is>
          <t>Loại vấn đề</t>
        </is>
      </c>
      <c r="F4" s="9" t="inlineStr">
        <is>
          <t>Mức độ</t>
        </is>
      </c>
      <c r="G4" s="9" t="inlineStr">
        <is>
          <t>Đề xuất sửa</t>
        </is>
      </c>
      <c r="H4" s="9" t="inlineStr">
        <is>
          <t>Phản hồi của chủ hệ thống</t>
        </is>
      </c>
      <c r="I4" s="9" t="inlineStr">
        <is>
          <t>Lý do / cách đã sửa</t>
        </is>
      </c>
    </row>
    <row r="5" ht="42" customHeight="1">
      <c r="A5" s="10" t="n">
        <v>1</v>
      </c>
      <c r="B5" s="11" t="inlineStr">
        <is>
          <t>FR-06 – Thang điểm đánh giá</t>
        </is>
      </c>
      <c r="C5" s="11" t="inlineStr">
        <is>
          <t>"Điểm đánh giá các tiêu chí phải hợp lệ"</t>
        </is>
      </c>
      <c r="D5" s="11" t="inlineStr">
        <is>
          <t>Không nêu rõ thang điểm tối thiểu và tối đa (1–5 hay 0–10), không nêu rõ có cho phép điểm thập phân hay không.</t>
        </is>
      </c>
      <c r="E5" s="10" t="inlineStr">
        <is>
          <t>Không kiểm thử được</t>
        </is>
      </c>
      <c r="F5" s="10" t="inlineStr">
        <is>
          <t>Cao</t>
        </is>
      </c>
      <c r="G5" s="11" t="inlineStr">
        <is>
          <t>Quy định rõ: "Điểm là số nguyên từ 1 đến 5 cho từng tiêu chí (pedagogy, difficulty, workEffort, gradingFairness). Cấm điểm &lt; 1 hoặc &gt; 5."</t>
        </is>
      </c>
      <c r="H5" s="10" t="inlineStr">
        <is>
          <t>Chấp nhận</t>
        </is>
      </c>
      <c r="I5" s="11" t="inlineStr">
        <is>
          <t>Đã bổ sung ràng buộc chặt chẽ tại SRS v1.1 mục 4.6</t>
        </is>
      </c>
    </row>
    <row r="6" ht="42" customHeight="1">
      <c r="A6" s="12" t="n">
        <v>2</v>
      </c>
      <c r="B6" s="13" t="inlineStr">
        <is>
          <t>FR-08 – Quy định Upvote</t>
        </is>
      </c>
      <c r="C6" s="13" t="inlineStr">
        <is>
          <t>"Sinh viên có thể đánh giá tính hữu ích của bài viết"</t>
        </is>
      </c>
      <c r="D6" s="13" t="inlineStr">
        <is>
          <t>Không quy định giới hạn số lần upvote cho mỗi người dùng, dẫn đến rủi ro spam vote vô hạn.</t>
        </is>
      </c>
      <c r="E6" s="12" t="inlineStr">
        <is>
          <t>Thiếu ràng buộc</t>
        </is>
      </c>
      <c r="F6" s="12" t="inlineStr">
        <is>
          <t>Cao</t>
        </is>
      </c>
      <c r="G6" s="13" t="inlineStr">
        <is>
          <t>Bổ sung: "Mỗi người dùng/phiên chỉ được upvote 1 lần duy nhất cho mỗi bài đánh giá. Cho phép toggle hủy vote."</t>
        </is>
      </c>
      <c r="H6" s="12" t="inlineStr">
        <is>
          <t>Chấp nhận</t>
        </is>
      </c>
      <c r="I6" s="13" t="inlineStr">
        <is>
          <t>Đã cập nhật logic kiểm tra khóa phiên tại SRS v1.1 mục 4.8</t>
        </is>
      </c>
    </row>
    <row r="7" ht="42" customHeight="1">
      <c r="A7" s="10" t="n">
        <v>3</v>
      </c>
      <c r="B7" s="11" t="inlineStr">
        <is>
          <t>FR-01 – Tìm kiếm tiếng Việt</t>
        </is>
      </c>
      <c r="C7" s="11" t="inlineStr">
        <is>
          <t>"Tìm kiếm giảng viên nhanh chóng theo tên"</t>
        </is>
      </c>
      <c r="D7" s="11" t="inlineStr">
        <is>
          <t>Không nêu rõ có hỗ trợ tiếng Việt không dấu, ký tự unicode tổ hợp (NFC/NFD) hay không.</t>
        </is>
      </c>
      <c r="E7" s="10" t="inlineStr">
        <is>
          <t>Mơ hồ</t>
        </is>
      </c>
      <c r="F7" s="10" t="inlineStr">
        <is>
          <t>Trung bình</t>
        </is>
      </c>
      <c r="G7" s="11" t="inlineStr">
        <is>
          <t>Ghi rõ: "Hỗ trợ tìm kiếm không dấu (accent-insensitive) và chuẩn hóa chuỗi tiếng Việt Unicode NFC; độ nhạy từ 2 ký tự."</t>
        </is>
      </c>
      <c r="H7" s="10" t="inlineStr">
        <is>
          <t>Chấp nhận</t>
        </is>
      </c>
      <c r="I7" s="11" t="inlineStr">
        <is>
          <t>Đã chuẩn hóa định nghĩa tìm kiếm tại SRS v1.1 mục 4.1</t>
        </is>
      </c>
    </row>
    <row r="8" ht="42" customHeight="1">
      <c r="A8" s="12" t="n">
        <v>4</v>
      </c>
      <c r="B8" s="13" t="inlineStr">
        <is>
          <t>FR-07 – Phân quyền Quản trị viên</t>
        </is>
      </c>
      <c r="C8" s="13" t="inlineStr">
        <is>
          <t>"Admin kiểm duyệt và phê duyệt yêu cầu đính chính"</t>
        </is>
      </c>
      <c r="D8" s="13" t="inlineStr">
        <is>
          <t>Chưa định nghĩa rõ cơ chế chặn truy cập trái phép của người dùng vãng lai vào giao diện /admin.</t>
        </is>
      </c>
      <c r="E8" s="12" t="inlineStr">
        <is>
          <t>Thiếu ràng buộc</t>
        </is>
      </c>
      <c r="F8" s="12" t="inlineStr">
        <is>
          <t>Cao</t>
        </is>
      </c>
      <c r="G8" s="13" t="inlineStr">
        <is>
          <t>Bổ sung bảng phân quyền RBAC: "Khách và Thành viên truy cập /admin phải bị chặn ngay lập tức (redirect về /login hoặc HTTP 403 Forbidden)."</t>
        </is>
      </c>
      <c r="H8" s="12" t="inlineStr">
        <is>
          <t>Chấp nhận</t>
        </is>
      </c>
      <c r="I8" s="13" t="inlineStr">
        <is>
          <t>Đã thêm Ma trận RBAC tại SRS v1.1 mục 5.2</t>
        </is>
      </c>
    </row>
    <row r="9" ht="42" customHeight="1">
      <c r="A9" s="10" t="n">
        <v>5</v>
      </c>
      <c r="B9" s="11" t="inlineStr">
        <is>
          <t>FR-04 – Lưu giảng viên (Bookmark)</t>
        </is>
      </c>
      <c r="C9" s="11" t="inlineStr">
        <is>
          <t>"Người dùng có thể bookmark giảng viên quan tâm"</t>
        </is>
      </c>
      <c r="D9" s="11" t="inlineStr">
        <is>
          <t>Chưa quy định cơ chế lưu trữ (LocalStorage hay Database) và thời gian tồn tại sau khi F5/reload.</t>
        </is>
      </c>
      <c r="E9" s="10" t="inlineStr">
        <is>
          <t>Mơ hồ</t>
        </is>
      </c>
      <c r="F9" s="10" t="inlineStr">
        <is>
          <t>Trung bình</t>
        </is>
      </c>
      <c r="G9" s="11" t="inlineStr">
        <is>
          <t>Đặc tả rõ: "Bookmark được lưu bền vững vào LocalStorage (cho khách) và đồng bộ Database khi đăng nhập; tồn tại qua các phiên duyệt web."</t>
        </is>
      </c>
      <c r="H9" s="10" t="inlineStr">
        <is>
          <t>Chấp nhận</t>
        </is>
      </c>
      <c r="I9" s="11" t="inlineStr">
        <is>
          <t>Đã cập nhật đặc tả lưu trữ bookmark tại SRS v1.1 mục 4.4</t>
        </is>
      </c>
    </row>
    <row r="10" ht="42" customHeight="1">
      <c r="A10" s="12" t="n">
        <v>6</v>
      </c>
      <c r="B10" s="13" t="inlineStr">
        <is>
          <t>NFR-01 – Hiệu năng tìm kiếm</t>
        </is>
      </c>
      <c r="C10" s="13" t="inlineStr">
        <is>
          <t>"Hệ thống phải phản hồi tìm kiếm nhanh chóng"</t>
        </is>
      </c>
      <c r="D10" s="13" t="inlineStr">
        <is>
          <t>Dùng từ tính từ định tính 'nhanh chóng', không có số liệu định lượng để kiểm thử hiệu năng.</t>
        </is>
      </c>
      <c r="E10" s="12" t="inlineStr">
        <is>
          <t>Không kiểm thử được</t>
        </is>
      </c>
      <c r="F10" s="12" t="inlineStr">
        <is>
          <t>Cao</t>
        </is>
      </c>
      <c r="G10" s="13" t="inlineStr">
        <is>
          <t>Sửa thành chỉ số định lượng: "P90 response time ≤ 2.0s và error rate &lt; 1% khi chịu tải 20 người dùng đồng thời (20 concurrent threads)."</t>
        </is>
      </c>
      <c r="H10" s="12" t="inlineStr">
        <is>
          <t>Chấp nhận</t>
        </is>
      </c>
      <c r="I10" s="13" t="inlineStr">
        <is>
          <t>Đã định lượng hóa NFR-01 tại SRS v1.1 mục 6.1</t>
        </is>
      </c>
    </row>
    <row r="11" ht="42" customHeight="1">
      <c r="A11" s="10" t="n">
        <v>7</v>
      </c>
      <c r="B11" s="11" t="inlineStr">
        <is>
          <t>NFR-02 – Hiệu năng tải trang Web Vitals</t>
        </is>
      </c>
      <c r="C11" s="11" t="inlineStr">
        <is>
          <t>"Trang chủ tải mượt mà trên di động"</t>
        </is>
      </c>
      <c r="D11" s="11" t="inlineStr">
        <is>
          <t>Thiếu chỉ số kỹ thuật tiêu chuẩn của Google Web Vitals.</t>
        </is>
      </c>
      <c r="E11" s="10" t="inlineStr">
        <is>
          <t>Không kiểm thử được</t>
        </is>
      </c>
      <c r="F11" s="10" t="inlineStr">
        <is>
          <t>Trung bình</t>
        </is>
      </c>
      <c r="G11" s="11" t="inlineStr">
        <is>
          <t>Đặc tả: "Largest Contentful Paint (LCP) ≤ 2.5s trên mạng 4G giả lập; First Input Delay (FID) ≤ 100ms."</t>
        </is>
      </c>
      <c r="H11" s="10" t="inlineStr">
        <is>
          <t>Chấp nhận</t>
        </is>
      </c>
      <c r="I11" s="11" t="inlineStr">
        <is>
          <t>Đã bổ sung chuẩn Web Vitals tại SRS v1.1 mục 6.2</t>
        </is>
      </c>
    </row>
    <row r="12" ht="42" customHeight="1">
      <c r="A12" s="12" t="n">
        <v>8</v>
      </c>
      <c r="B12" s="13" t="inlineStr">
        <is>
          <t>NFR-04 – Responsive giao diện</t>
        </is>
      </c>
      <c r="C12" s="13" t="inlineStr">
        <is>
          <t>"Giao diện hiển thị tốt trên mọi kích thước màn hình"</t>
        </is>
      </c>
      <c r="D12" s="13" t="inlineStr">
        <is>
          <t>Chưa liệt kê các breakpoint kiểm thử cụ thể.</t>
        </is>
      </c>
      <c r="E12" s="12" t="inlineStr">
        <is>
          <t>Mơ hồ</t>
        </is>
      </c>
      <c r="F12" s="12" t="inlineStr">
        <is>
          <t>Thấp</t>
        </is>
      </c>
      <c r="G12" s="13" t="inlineStr">
        <is>
          <t>Ghi rõ các breakpoint: "375x812 (mobile), 768x1024 (tablet), 1366x768 (laptop), 1920x1080 (desktop); tuyệt đối không xuất hiện thanh cuộn ngang."</t>
        </is>
      </c>
      <c r="H12" s="12" t="inlineStr">
        <is>
          <t>Chấp nhận</t>
        </is>
      </c>
      <c r="I12" s="13" t="inlineStr">
        <is>
          <t>Đã liệt kê các breakpoint tại SRS v1.1 mục 6.4</t>
        </is>
      </c>
    </row>
    <row r="13" ht="42" customHeight="1">
      <c r="A13" s="10" t="n">
        <v>9</v>
      </c>
      <c r="B13" s="11" t="inlineStr">
        <is>
          <t>FR-11 – Đa ngôn ngữ (i18n)</t>
        </is>
      </c>
      <c r="C13" s="11" t="inlineStr">
        <is>
          <t>"Hỗ trợ giao diện tiếng Việt và tiếng Anh"</t>
        </is>
      </c>
      <c r="D13" s="11" t="inlineStr">
        <is>
          <t>Chưa làm rõ việc chuyển ngôn ngữ có làm mất trạng thái bộ lọc và từ khóa tìm kiếm đang hiển thị hay không.</t>
        </is>
      </c>
      <c r="E13" s="10" t="inlineStr">
        <is>
          <t>Thiếu trường hợp biên</t>
        </is>
      </c>
      <c r="F13" s="10" t="inlineStr">
        <is>
          <t>Trung bình</t>
        </is>
      </c>
      <c r="G13" s="11" t="inlineStr">
        <is>
          <t>Quy định: "Khi chuyển đổi VI/EN, toàn bộ query parameters trên URL (?q=..., ?dept=...) phải được bảo toàn 100%."</t>
        </is>
      </c>
      <c r="H13" s="10" t="inlineStr">
        <is>
          <t>Chấp nhận</t>
        </is>
      </c>
      <c r="I13" s="11" t="inlineStr">
        <is>
          <t>Đã bổ sung nguyên tắc bảo toàn state URL tại SRS v1.1 mục 4.11</t>
        </is>
      </c>
    </row>
    <row r="14" ht="42" customHeight="1">
      <c r="A14" s="12" t="n">
        <v>10</v>
      </c>
      <c r="B14" s="13" t="inlineStr">
        <is>
          <t>NFR-05 – Xử lý lỗi ngoại lệ API</t>
        </is>
      </c>
      <c r="C14" s="13" t="inlineStr">
        <is>
          <t>"Hệ thống xử lý lỗi khi người dùng gửi sai"</t>
        </is>
      </c>
      <c r="D14" s="13" t="inlineStr">
        <is>
          <t>Chưa quy định định dạng JSON chuẩn của phản hồi lỗi HTTP 400/500.</t>
        </is>
      </c>
      <c r="E14" s="12" t="inlineStr">
        <is>
          <t>Thiếu ràng buộc</t>
        </is>
      </c>
      <c r="F14" s="12" t="inlineStr">
        <is>
          <t>Trung bình</t>
        </is>
      </c>
      <c r="G14" s="13" t="inlineStr">
        <is>
          <t>Quy định chuẩn JSON lỗi: `{"error": "MÃ_LỖI", "message": "Thông điệp", "fields": {...}}`, không bao giờ trả về stack trace HTML hoặc crash 500.</t>
        </is>
      </c>
      <c r="H14" s="12" t="inlineStr">
        <is>
          <t>Chấp nhận</t>
        </is>
      </c>
      <c r="I14" s="13" t="inlineStr">
        <is>
          <t>Đã thống nhất schema lỗi tại SRS v1.1 mục 6.5 và Tài liệu API mục 2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32" customWidth="1" min="4" max="4"/>
    <col width="24" customWidth="1" min="5" max="5"/>
    <col width="24" customWidth="1" min="6" max="6"/>
    <col width="32" customWidth="1" min="7" max="7"/>
    <col width="32" customWidth="1" min="8" max="8"/>
    <col width="12" customWidth="1" min="9" max="9"/>
    <col width="12" customWidth="1" min="10" max="10"/>
    <col width="32" customWidth="1" min="11" max="11"/>
    <col width="14" customWidth="1" min="12" max="12"/>
    <col width="20" customWidth="1" min="13" max="13"/>
  </cols>
  <sheetData>
    <row r="1">
      <c r="A1" s="1" t="inlineStr">
        <is>
          <t>TEST CASE CHỨC NĂNG</t>
        </is>
      </c>
    </row>
    <row r="2">
      <c r="A2" s="2" t="inlineStr">
        <is>
          <t>Quy ước mã: TC-FRxx-nnn (chức năng) · TC-FLOWxx-nnn (luồng E2E) · TC-AUTHZ-nnn (phân quyền). Mỗi chức năng ≥ 3 case.</t>
        </is>
      </c>
    </row>
    <row r="3">
      <c r="A3" s="8" t="inlineStr">
        <is>
          <t>Chú thích: ô nền vàng nhạt = sinh viên điền; dòng chữ xám nghiêng = VÍ DỤ, ghi đè hoặc xoá khi làm; cột có mũi tên = chọn từ danh sách.</t>
        </is>
      </c>
    </row>
    <row r="4" ht="26" customHeight="1">
      <c r="A4" s="9" t="inlineStr">
        <is>
          <t>TC ID</t>
        </is>
      </c>
      <c r="B4" s="9" t="inlineStr">
        <is>
          <t>Chức năng / Luồng</t>
        </is>
      </c>
      <c r="C4" s="9" t="inlineStr">
        <is>
          <t>Kỹ thuật thiết kế</t>
        </is>
      </c>
      <c r="D4" s="9" t="inlineStr">
        <is>
          <t>Tiêu đề</t>
        </is>
      </c>
      <c r="E4" s="9" t="inlineStr">
        <is>
          <t>Tiền điều kiện</t>
        </is>
      </c>
      <c r="F4" s="9" t="inlineStr">
        <is>
          <t>Dữ liệu thử</t>
        </is>
      </c>
      <c r="G4" s="9" t="inlineStr">
        <is>
          <t>Các bước thực hiện</t>
        </is>
      </c>
      <c r="H4" s="9" t="inlineStr">
        <is>
          <t>Kết quả mong đợi</t>
        </is>
      </c>
      <c r="I4" s="9" t="inlineStr">
        <is>
          <t>Độ ưu tiên</t>
        </is>
      </c>
      <c r="J4" s="9" t="inlineStr">
        <is>
          <t>Kết quả</t>
        </is>
      </c>
      <c r="K4" s="9" t="inlineStr">
        <is>
          <t>Kết quả thực tế (khi Fail)</t>
        </is>
      </c>
      <c r="L4" s="9" t="inlineStr">
        <is>
          <t>Bug ID</t>
        </is>
      </c>
      <c r="M4" s="9" t="inlineStr">
        <is>
          <t>Ghi chú</t>
        </is>
      </c>
    </row>
    <row r="5" ht="36" customHeight="1">
      <c r="A5" s="10" t="inlineStr">
        <is>
          <t>TC-FR01-001</t>
        </is>
      </c>
      <c r="B5" s="10" t="inlineStr">
        <is>
          <t>FR-01</t>
        </is>
      </c>
      <c r="C5" s="14" t="inlineStr">
        <is>
          <t>Phân hoạch tương đương (EP)</t>
        </is>
      </c>
      <c r="D5" s="14" t="inlineStr">
        <is>
          <t>Tìm kiếm giảng viên bằng tên tiếng Việt có dấu đầy đủ</t>
        </is>
      </c>
      <c r="E5" s="11" t="inlineStr">
        <is>
          <t>Đang ở trang chủ</t>
        </is>
      </c>
      <c r="F5" s="11" t="inlineStr">
        <is>
          <t>Từ khóa: 'Nguyễn Văn A'</t>
        </is>
      </c>
      <c r="G5" s="11" t="inlineStr">
        <is>
          <t>1. Nhập từ khóa 'Nguyễn Văn A' vào ô tìm kiếm 2. Nhấn Enter</t>
        </is>
      </c>
      <c r="H5" s="11" t="inlineStr">
        <is>
          <t>Hiển thị danh sách các giảng viên có tên khớp 'Nguyễn Văn A'</t>
        </is>
      </c>
      <c r="I5" s="10" t="inlineStr">
        <is>
          <t>High</t>
        </is>
      </c>
      <c r="J5" s="15" t="inlineStr">
        <is>
          <t>Pass</t>
        </is>
      </c>
      <c r="K5" s="11" t="inlineStr"/>
      <c r="L5" s="10" t="inlineStr"/>
      <c r="M5" s="11" t="inlineStr">
        <is>
          <t>Happy path</t>
        </is>
      </c>
    </row>
    <row r="6" ht="36" customHeight="1">
      <c r="A6" s="12" t="inlineStr">
        <is>
          <t>TC-FR01-002</t>
        </is>
      </c>
      <c r="B6" s="12" t="inlineStr">
        <is>
          <t>FR-01</t>
        </is>
      </c>
      <c r="C6" s="16" t="inlineStr">
        <is>
          <t>Phân hoạch tương đương (EP)</t>
        </is>
      </c>
      <c r="D6" s="16" t="inlineStr">
        <is>
          <t>Tìm kiếm bằng tên tiếng Việt không dấu</t>
        </is>
      </c>
      <c r="E6" s="13" t="inlineStr">
        <is>
          <t>Đang ở trang chủ</t>
        </is>
      </c>
      <c r="F6" s="13" t="inlineStr">
        <is>
          <t>Từ khóa: 'Nguyen Van'</t>
        </is>
      </c>
      <c r="G6" s="13" t="inlineStr">
        <is>
          <t>1. Nhập 'Nguyen Van' vào ô tìm kiếm 2. Nhấn Enter</t>
        </is>
      </c>
      <c r="H6" s="13" t="inlineStr">
        <is>
          <t>Hiển thị danh sách giảng viên tương đương có dấu</t>
        </is>
      </c>
      <c r="I6" s="12" t="inlineStr">
        <is>
          <t>High</t>
        </is>
      </c>
      <c r="J6" s="17" t="inlineStr">
        <is>
          <t>Fail</t>
        </is>
      </c>
      <c r="K6" s="13" t="inlineStr">
        <is>
          <t>Báo 0 kết quả, không chuẩn hóa được tiếng Việt không dấu</t>
        </is>
      </c>
      <c r="L6" s="17" t="inlineStr">
        <is>
          <t>BUG-004</t>
        </is>
      </c>
      <c r="M6" s="13" t="inlineStr">
        <is>
          <t>Trùng SEED-04</t>
        </is>
      </c>
    </row>
    <row r="7" ht="36" customHeight="1">
      <c r="A7" s="10" t="inlineStr">
        <is>
          <t>TC-FR01-003</t>
        </is>
      </c>
      <c r="B7" s="10" t="inlineStr">
        <is>
          <t>FR-01</t>
        </is>
      </c>
      <c r="C7" s="14" t="inlineStr">
        <is>
          <t>Giá trị biên (BVA)</t>
        </is>
      </c>
      <c r="D7" s="14" t="inlineStr">
        <is>
          <t>Tìm kiếm với độ dài từ khóa = 1 ký tự (dưới biên tối thiểu)</t>
        </is>
      </c>
      <c r="E7" s="11" t="inlineStr">
        <is>
          <t>Đang ở trang chủ</t>
        </is>
      </c>
      <c r="F7" s="11" t="inlineStr">
        <is>
          <t>Từ khóa: 'N'</t>
        </is>
      </c>
      <c r="G7" s="11" t="inlineStr">
        <is>
          <t>1. Nhập 'N' vào ô tìm kiếm 2. Nhấn Enter</t>
        </is>
      </c>
      <c r="H7" s="11" t="inlineStr">
        <is>
          <t>Hiển thị thông báo 'Vui lòng nhập tối thiểu 2 ký tự'</t>
        </is>
      </c>
      <c r="I7" s="10" t="inlineStr">
        <is>
          <t>Medium</t>
        </is>
      </c>
      <c r="J7" s="15" t="inlineStr">
        <is>
          <t>Pass</t>
        </is>
      </c>
      <c r="K7" s="11" t="inlineStr"/>
      <c r="L7" s="10" t="inlineStr"/>
      <c r="M7" s="11" t="inlineStr">
        <is>
          <t>Boundary check min-1</t>
        </is>
      </c>
    </row>
    <row r="8" ht="36" customHeight="1">
      <c r="A8" s="12" t="inlineStr">
        <is>
          <t>TC-FR01-004</t>
        </is>
      </c>
      <c r="B8" s="12" t="inlineStr">
        <is>
          <t>FR-01</t>
        </is>
      </c>
      <c r="C8" s="16" t="inlineStr">
        <is>
          <t>Giá trị biên (BVA)</t>
        </is>
      </c>
      <c r="D8" s="16" t="inlineStr">
        <is>
          <t>Tìm kiếm với độ dài từ khóa = 2 ký tự (biên tối thiểu hợp lệ)</t>
        </is>
      </c>
      <c r="E8" s="13" t="inlineStr">
        <is>
          <t>Đang ở trang chủ</t>
        </is>
      </c>
      <c r="F8" s="13" t="inlineStr">
        <is>
          <t>Từ khóa: 'Lê'</t>
        </is>
      </c>
      <c r="G8" s="13" t="inlineStr">
        <is>
          <t>1. Nhập 'Lê' vào ô tìm kiếm 2. Nhấn Enter</t>
        </is>
      </c>
      <c r="H8" s="13" t="inlineStr">
        <is>
          <t>Thực hiện tìm kiếm và hiển thị các giảng viên họ Lê</t>
        </is>
      </c>
      <c r="I8" s="12" t="inlineStr">
        <is>
          <t>Medium</t>
        </is>
      </c>
      <c r="J8" s="18" t="inlineStr">
        <is>
          <t>Pass</t>
        </is>
      </c>
      <c r="K8" s="13" t="inlineStr"/>
      <c r="L8" s="12" t="inlineStr"/>
      <c r="M8" s="13" t="inlineStr">
        <is>
          <t>Boundary check valid min</t>
        </is>
      </c>
    </row>
    <row r="9" ht="36" customHeight="1">
      <c r="A9" s="10" t="inlineStr">
        <is>
          <t>TC-FR01-005</t>
        </is>
      </c>
      <c r="B9" s="10" t="inlineStr">
        <is>
          <t>FR-01</t>
        </is>
      </c>
      <c r="C9" s="14" t="inlineStr">
        <is>
          <t>Phân hoạch tương đương (EP)</t>
        </is>
      </c>
      <c r="D9" s="14" t="inlineStr">
        <is>
          <t>Tìm kiếm với từ khóa không tồn tại trong hệ thống</t>
        </is>
      </c>
      <c r="E9" s="11" t="inlineStr">
        <is>
          <t>Đang ở trang chủ</t>
        </is>
      </c>
      <c r="F9" s="11" t="inlineStr">
        <is>
          <t>Từ khóa: 'xyz_unknown_999'</t>
        </is>
      </c>
      <c r="G9" s="11" t="inlineStr">
        <is>
          <t>1. Nhập từ khóa 2. Nhấn Enter</t>
        </is>
      </c>
      <c r="H9" s="11" t="inlineStr">
        <is>
          <t>Hiển thị thông báo 'Không tìm thấy giảng viên phù hợp'</t>
        </is>
      </c>
      <c r="I9" s="10" t="inlineStr">
        <is>
          <t>Low</t>
        </is>
      </c>
      <c r="J9" s="15" t="inlineStr">
        <is>
          <t>Pass</t>
        </is>
      </c>
      <c r="K9" s="11" t="inlineStr"/>
      <c r="L9" s="10" t="inlineStr"/>
      <c r="M9" s="11" t="inlineStr">
        <is>
          <t>Negative check</t>
        </is>
      </c>
    </row>
    <row r="10" ht="36" customHeight="1">
      <c r="A10" s="12" t="inlineStr">
        <is>
          <t>TC-FR02-001</t>
        </is>
      </c>
      <c r="B10" s="12" t="inlineStr">
        <is>
          <t>FR-02</t>
        </is>
      </c>
      <c r="C10" s="16" t="inlineStr">
        <is>
          <t>Phân hoạch tương đương (EP)</t>
        </is>
      </c>
      <c r="D10" s="16" t="inlineStr">
        <is>
          <t>Lọc giảng viên theo trường đại học hợp lệ</t>
        </is>
      </c>
      <c r="E10" s="13" t="inlineStr">
        <is>
          <t>Đang ở /professors</t>
        </is>
      </c>
      <c r="F10" s="13" t="inlineStr">
        <is>
          <t>Chọn trường: VJU</t>
        </is>
      </c>
      <c r="G10" s="13" t="inlineStr">
        <is>
          <t>1. Mở bộ lọc 2. Chọn trường VJU 3. Quan sát kết quả</t>
        </is>
      </c>
      <c r="H10" s="13" t="inlineStr">
        <is>
          <t>Chỉ hiển thị giảng viên thuộc VJU</t>
        </is>
      </c>
      <c r="I10" s="12" t="inlineStr">
        <is>
          <t>High</t>
        </is>
      </c>
      <c r="J10" s="17" t="inlineStr">
        <is>
          <t>Fail</t>
        </is>
      </c>
      <c r="K10" s="13" t="inlineStr">
        <is>
          <t>Hiển thị lẫn lộn cả giảng viên HUST</t>
        </is>
      </c>
      <c r="L10" s="17" t="inlineStr">
        <is>
          <t>BUG-003</t>
        </is>
      </c>
      <c r="M10" s="13" t="inlineStr">
        <is>
          <t>Trùng SEED-03</t>
        </is>
      </c>
    </row>
    <row r="11" ht="36" customHeight="1">
      <c r="A11" s="10" t="inlineStr">
        <is>
          <t>TC-FR02-002</t>
        </is>
      </c>
      <c r="B11" s="10" t="inlineStr">
        <is>
          <t>FR-02</t>
        </is>
      </c>
      <c r="C11" s="14" t="inlineStr">
        <is>
          <t>Phân hoạch tương đương (EP)</t>
        </is>
      </c>
      <c r="D11" s="14" t="inlineStr">
        <is>
          <t>Lọc theo trường đại học kết hợp từ khóa tìm kiếm</t>
        </is>
      </c>
      <c r="E11" s="11" t="inlineStr">
        <is>
          <t>Đang ở /professors</t>
        </is>
      </c>
      <c r="F11" s="11" t="inlineStr">
        <is>
          <t>Trường: VNU, Tên: 'Tuấn'</t>
        </is>
      </c>
      <c r="G11" s="11" t="inlineStr">
        <is>
          <t>1. Chọn trường VNU 2. Nhập 'Tuấn' 3. Xem danh sách</t>
        </is>
      </c>
      <c r="H11" s="11" t="inlineStr">
        <is>
          <t>Chỉ hiển thị giảng viên tên Tuấn tại ĐHQGHN</t>
        </is>
      </c>
      <c r="I11" s="10" t="inlineStr">
        <is>
          <t>Medium</t>
        </is>
      </c>
      <c r="J11" s="15" t="inlineStr">
        <is>
          <t>Pass</t>
        </is>
      </c>
      <c r="K11" s="11" t="inlineStr"/>
      <c r="L11" s="10" t="inlineStr"/>
      <c r="M11" s="11" t="inlineStr">
        <is>
          <t>Filter combination</t>
        </is>
      </c>
    </row>
    <row r="12" ht="36" customHeight="1">
      <c r="A12" s="12" t="inlineStr">
        <is>
          <t>TC-FR02-003</t>
        </is>
      </c>
      <c r="B12" s="12" t="inlineStr">
        <is>
          <t>FR-02</t>
        </is>
      </c>
      <c r="C12" s="16" t="inlineStr">
        <is>
          <t>Phân hoạch tương đương (EP)</t>
        </is>
      </c>
      <c r="D12" s="16" t="inlineStr">
        <is>
          <t>Đặt lại bộ lọc về mặc định (Tất cả trường)</t>
        </is>
      </c>
      <c r="E12" s="13" t="inlineStr">
        <is>
          <t>Đang áp dụng bộ lọc trường</t>
        </is>
      </c>
      <c r="F12" s="13" t="inlineStr">
        <is>
          <t>Click 'Đặt lại' (Reset)</t>
        </is>
      </c>
      <c r="G12" s="13" t="inlineStr">
        <is>
          <t>1. Bấm nút Đặt lại bộ lọc 2. Quan sát danh sách</t>
        </is>
      </c>
      <c r="H12" s="13" t="inlineStr">
        <is>
          <t>Bộ lọc xóa chọn, hiển thị toàn bộ giảng viên</t>
        </is>
      </c>
      <c r="I12" s="12" t="inlineStr">
        <is>
          <t>Medium</t>
        </is>
      </c>
      <c r="J12" s="18" t="inlineStr">
        <is>
          <t>Pass</t>
        </is>
      </c>
      <c r="K12" s="13" t="inlineStr"/>
      <c r="L12" s="12" t="inlineStr"/>
      <c r="M12" s="13" t="inlineStr">
        <is>
          <t>Reset filter</t>
        </is>
      </c>
    </row>
    <row r="13" ht="36" customHeight="1">
      <c r="A13" s="10" t="inlineStr">
        <is>
          <t>TC-FR02-004</t>
        </is>
      </c>
      <c r="B13" s="10" t="inlineStr">
        <is>
          <t>FR-02</t>
        </is>
      </c>
      <c r="C13" s="14" t="inlineStr">
        <is>
          <t>Giá trị biên (BVA)</t>
        </is>
      </c>
      <c r="D13" s="14" t="inlineStr">
        <is>
          <t>Chọn lọc trường không có giảng viên nào trong hệ thống</t>
        </is>
      </c>
      <c r="E13" s="11" t="inlineStr">
        <is>
          <t>Đang ở /professors</t>
        </is>
      </c>
      <c r="F13" s="11" t="inlineStr">
        <is>
          <t>Trường mới tạo chưa có dữ liệu</t>
        </is>
      </c>
      <c r="G13" s="11" t="inlineStr">
        <is>
          <t>1. Chọn trường trống 2. Quan sát danh sách</t>
        </is>
      </c>
      <c r="H13" s="11" t="inlineStr">
        <is>
          <t>Hiển thị thông báo 'Chưa có giảng viên nào thuộc trường này'</t>
        </is>
      </c>
      <c r="I13" s="10" t="inlineStr">
        <is>
          <t>Low</t>
        </is>
      </c>
      <c r="J13" s="15" t="inlineStr">
        <is>
          <t>Pass</t>
        </is>
      </c>
      <c r="K13" s="11" t="inlineStr"/>
      <c r="L13" s="10" t="inlineStr"/>
      <c r="M13" s="11" t="inlineStr">
        <is>
          <t>Empty list check</t>
        </is>
      </c>
    </row>
    <row r="14" ht="36" customHeight="1">
      <c r="A14" s="12" t="inlineStr">
        <is>
          <t>TC-FR03-001</t>
        </is>
      </c>
      <c r="B14" s="12" t="inlineStr">
        <is>
          <t>FR-03</t>
        </is>
      </c>
      <c r="C14" s="16" t="inlineStr">
        <is>
          <t>Phân hoạch tương đương (EP)</t>
        </is>
      </c>
      <c r="D14" s="16" t="inlineStr">
        <is>
          <t>Xem trang hồ sơ giảng viên tồn tại trong hệ thống</t>
        </is>
      </c>
      <c r="E14" s="13" t="inlineStr">
        <is>
          <t>Có giảng viên ID hợp lệ</t>
        </is>
      </c>
      <c r="F14" s="13" t="inlineStr">
        <is>
          <t>ID: 'lec_001'</t>
        </is>
      </c>
      <c r="G14" s="13" t="inlineStr">
        <is>
          <t>1. Truy cập /professors/lec_001 2. Quan sát các trường thông tin</t>
        </is>
      </c>
      <c r="H14" s="13" t="inlineStr">
        <is>
          <t>Hiển thị đầy đủ Họ tên, Học hàm, Học vị, Trường, Điểm tổng quan</t>
        </is>
      </c>
      <c r="I14" s="12" t="inlineStr">
        <is>
          <t>High</t>
        </is>
      </c>
      <c r="J14" s="18" t="inlineStr">
        <is>
          <t>Pass</t>
        </is>
      </c>
      <c r="K14" s="13" t="inlineStr"/>
      <c r="L14" s="12" t="inlineStr"/>
      <c r="M14" s="13" t="inlineStr">
        <is>
          <t>Detail view</t>
        </is>
      </c>
    </row>
    <row r="15" ht="36" customHeight="1">
      <c r="A15" s="10" t="inlineStr">
        <is>
          <t>TC-FR03-002</t>
        </is>
      </c>
      <c r="B15" s="10" t="inlineStr">
        <is>
          <t>FR-03</t>
        </is>
      </c>
      <c r="C15" s="14" t="inlineStr">
        <is>
          <t>Phân hoạch tương đương (EP)</t>
        </is>
      </c>
      <c r="D15" s="14" t="inlineStr">
        <is>
          <t>Xem hồ sơ với avatar tỉ lệ ảnh chữ nhật (3:4 hoặc 16:9)</t>
        </is>
      </c>
      <c r="E15" s="11" t="inlineStr">
        <is>
          <t>Giảng viên có avatar chữ nhật</t>
        </is>
      </c>
      <c r="F15" s="11" t="inlineStr">
        <is>
          <t>ID: 'lec_rect_avatar'</t>
        </is>
      </c>
      <c r="G15" s="11" t="inlineStr">
        <is>
          <t>1. Truy cập trang chi tiết 2. Kiểm tra khung ảnh avatar</t>
        </is>
      </c>
      <c r="H15" s="11" t="inlineStr">
        <is>
          <t>Avatar hiển thị tròn/vuông chuẩn 1:1, không bị dẹt méo</t>
        </is>
      </c>
      <c r="I15" s="10" t="inlineStr">
        <is>
          <t>Medium</t>
        </is>
      </c>
      <c r="J15" s="19" t="inlineStr">
        <is>
          <t>Fail</t>
        </is>
      </c>
      <c r="K15" s="11" t="inlineStr">
        <is>
          <t>Avatar bị dẹt ngang co kéo mất thẩm mỹ</t>
        </is>
      </c>
      <c r="L15" s="19" t="inlineStr">
        <is>
          <t>BUG-009</t>
        </is>
      </c>
      <c r="M15" s="11" t="inlineStr">
        <is>
          <t>Trùng SEED-09</t>
        </is>
      </c>
    </row>
    <row r="16" ht="36" customHeight="1">
      <c r="A16" s="12" t="inlineStr">
        <is>
          <t>TC-FR03-003</t>
        </is>
      </c>
      <c r="B16" s="12" t="inlineStr">
        <is>
          <t>FR-03</t>
        </is>
      </c>
      <c r="C16" s="16" t="inlineStr">
        <is>
          <t>Phân hoạch tương đương (EP)</t>
        </is>
      </c>
      <c r="D16" s="16" t="inlineStr">
        <is>
          <t>Xem chi tiết giảng viên bằng mã ID không tồn tại</t>
        </is>
      </c>
      <c r="E16" s="13" t="inlineStr">
        <is>
          <t>Đang mở trình duyệt</t>
        </is>
      </c>
      <c r="F16" s="13" t="inlineStr">
        <is>
          <t>ID: 'lec_invalid_99999'</t>
        </is>
      </c>
      <c r="G16" s="13" t="inlineStr">
        <is>
          <t>1. Truy cập /professors/lec_invalid_99999</t>
        </is>
      </c>
      <c r="H16" s="13" t="inlineStr">
        <is>
          <t>Hiển thị trang 404 Không tìm thấy giảng viên</t>
        </is>
      </c>
      <c r="I16" s="12" t="inlineStr">
        <is>
          <t>Medium</t>
        </is>
      </c>
      <c r="J16" s="18" t="inlineStr">
        <is>
          <t>Pass</t>
        </is>
      </c>
      <c r="K16" s="13" t="inlineStr"/>
      <c r="L16" s="12" t="inlineStr"/>
      <c r="M16" s="13" t="inlineStr">
        <is>
          <t>Not found check</t>
        </is>
      </c>
    </row>
    <row r="17" ht="36" customHeight="1">
      <c r="A17" s="10" t="inlineStr">
        <is>
          <t>TC-FR03-004</t>
        </is>
      </c>
      <c r="B17" s="10" t="inlineStr">
        <is>
          <t>FR-03</t>
        </is>
      </c>
      <c r="C17" s="14" t="inlineStr">
        <is>
          <t>Phân hoạch tương đương (EP)</t>
        </is>
      </c>
      <c r="D17" s="14" t="inlineStr">
        <is>
          <t>Xem phân bố sao đánh giá (Rating Breakdown 1 đến 5 sao)</t>
        </is>
      </c>
      <c r="E17" s="11" t="inlineStr">
        <is>
          <t>Giảng viên đã có &gt;= 5 đánh giá</t>
        </is>
      </c>
      <c r="F17" s="11" t="inlineStr">
        <is>
          <t>Giảng viên ID: 'lec_001'</t>
        </is>
      </c>
      <c r="G17" s="11" t="inlineStr">
        <is>
          <t>1. Mở trang hồ sơ 2. Cuộn tới phần phân bố sao</t>
        </is>
      </c>
      <c r="H17" s="11" t="inlineStr">
        <is>
          <t>Hiển thị thanh tiến trình tỉ lệ phần trăm các mức sao chính xác</t>
        </is>
      </c>
      <c r="I17" s="10" t="inlineStr">
        <is>
          <t>Low</t>
        </is>
      </c>
      <c r="J17" s="15" t="inlineStr">
        <is>
          <t>Pass</t>
        </is>
      </c>
      <c r="K17" s="11" t="inlineStr"/>
      <c r="L17" s="10" t="inlineStr"/>
      <c r="M17" s="11" t="inlineStr">
        <is>
          <t>Breakdown check</t>
        </is>
      </c>
    </row>
    <row r="18" ht="36" customHeight="1">
      <c r="A18" s="12" t="inlineStr">
        <is>
          <t>TC-FR04-001</t>
        </is>
      </c>
      <c r="B18" s="12" t="inlineStr">
        <is>
          <t>FR-04</t>
        </is>
      </c>
      <c r="C18" s="16" t="inlineStr">
        <is>
          <t>Chuyển trạng thái</t>
        </is>
      </c>
      <c r="D18" s="16" t="inlineStr">
        <is>
          <t>Lưu giảng viên vào danh sách yêu thích và kiểm tra sau F5</t>
        </is>
      </c>
      <c r="E18" s="13" t="inlineStr">
        <is>
          <t>Trang chi tiết giảng viên</t>
        </is>
      </c>
      <c r="F18" s="13" t="inlineStr">
        <is>
          <t>Giảng viên 'lec_001'</t>
        </is>
      </c>
      <c r="G18" s="13" t="inlineStr">
        <is>
          <t>1. Bấm nút Lưu giảng viên 2. F5 tải lại trang 3. Xem trạng thái nút</t>
        </is>
      </c>
      <c r="H18" s="13" t="inlineStr">
        <is>
          <t>Nút bookmark vẫn ở trạng thái 'Đã lưu'</t>
        </is>
      </c>
      <c r="I18" s="12" t="inlineStr">
        <is>
          <t>High</t>
        </is>
      </c>
      <c r="J18" s="17" t="inlineStr">
        <is>
          <t>Fail</t>
        </is>
      </c>
      <c r="K18" s="13" t="inlineStr">
        <is>
          <t>F5 xong trạng thái bookmark bị mất về ban đầu</t>
        </is>
      </c>
      <c r="L18" s="17" t="inlineStr">
        <is>
          <t>BUG-005</t>
        </is>
      </c>
      <c r="M18" s="13" t="inlineStr">
        <is>
          <t>Trùng SEED-05</t>
        </is>
      </c>
    </row>
    <row r="19" ht="36" customHeight="1">
      <c r="A19" s="10" t="inlineStr">
        <is>
          <t>TC-FR04-002</t>
        </is>
      </c>
      <c r="B19" s="10" t="inlineStr">
        <is>
          <t>FR-04</t>
        </is>
      </c>
      <c r="C19" s="14" t="inlineStr">
        <is>
          <t>Chuyển trạng thái</t>
        </is>
      </c>
      <c r="D19" s="14" t="inlineStr">
        <is>
          <t>Bỏ lưu giảng viên đã được bookmark</t>
        </is>
      </c>
      <c r="E19" s="11" t="inlineStr">
        <is>
          <t>Giảng viên đã lưu trước đó</t>
        </is>
      </c>
      <c r="F19" s="11" t="inlineStr">
        <is>
          <t>Giảng viên 'lec_001'</t>
        </is>
      </c>
      <c r="G19" s="11" t="inlineStr">
        <is>
          <t>1. Bấm vào nút bookmark đang active 2. Kiểm tra giao diện</t>
        </is>
      </c>
      <c r="H19" s="11" t="inlineStr">
        <is>
          <t>Nút chuyển về trạng thái Chưa lưu, xóa khỏi danh sách đã lưu</t>
        </is>
      </c>
      <c r="I19" s="10" t="inlineStr">
        <is>
          <t>Medium</t>
        </is>
      </c>
      <c r="J19" s="15" t="inlineStr">
        <is>
          <t>Pass</t>
        </is>
      </c>
      <c r="K19" s="11" t="inlineStr"/>
      <c r="L19" s="10" t="inlineStr"/>
      <c r="M19" s="11" t="inlineStr">
        <is>
          <t>Unbookmark toggle</t>
        </is>
      </c>
    </row>
    <row r="20" ht="36" customHeight="1">
      <c r="A20" s="12" t="inlineStr">
        <is>
          <t>TC-FR04-003</t>
        </is>
      </c>
      <c r="B20" s="12" t="inlineStr">
        <is>
          <t>FR-04</t>
        </is>
      </c>
      <c r="C20" s="16" t="inlineStr">
        <is>
          <t>Phân hoạch tương đương (EP)</t>
        </is>
      </c>
      <c r="D20" s="16" t="inlineStr">
        <is>
          <t>Kiểm tra danh sách giảng viên đã lưu khi lưu nhiều người</t>
        </is>
      </c>
      <c r="E20" s="13" t="inlineStr">
        <is>
          <t>Đã lưu 2 giảng viên khác trường</t>
        </is>
      </c>
      <c r="F20" s="13" t="inlineStr">
        <is>
          <t>Giảng viên A (VNU), Giảng viên B (HUST)</t>
        </is>
      </c>
      <c r="G20" s="13" t="inlineStr">
        <is>
          <t>1. Lưu A và B 2. Mở danh sách đã lưu 3. Đối chiếu thông tin trường</t>
        </is>
      </c>
      <c r="H20" s="13" t="inlineStr">
        <is>
          <t>Giảng viên A đúng trường VNU, B đúng trường HUST</t>
        </is>
      </c>
      <c r="I20" s="12" t="inlineStr">
        <is>
          <t>High</t>
        </is>
      </c>
      <c r="J20" s="17" t="inlineStr">
        <is>
          <t>Fail</t>
        </is>
      </c>
      <c r="K20" s="13" t="inlineStr">
        <is>
          <t>Thông tin trường của A và B bị đảo chéo cho nhau</t>
        </is>
      </c>
      <c r="L20" s="17" t="inlineStr">
        <is>
          <t>BUG-010</t>
        </is>
      </c>
      <c r="M20" s="13" t="inlineStr">
        <is>
          <t>Trùng SEED-10</t>
        </is>
      </c>
    </row>
    <row r="21" ht="36" customHeight="1">
      <c r="A21" s="10" t="inlineStr">
        <is>
          <t>TC-FR04-004</t>
        </is>
      </c>
      <c r="B21" s="10" t="inlineStr">
        <is>
          <t>FR-04</t>
        </is>
      </c>
      <c r="C21" s="14" t="inlineStr">
        <is>
          <t>Giá trị biên (BVA)</t>
        </is>
      </c>
      <c r="D21" s="14" t="inlineStr">
        <is>
          <t>Mở danh sách đã lưu khi chưa bookmark giảng viên nào</t>
        </is>
      </c>
      <c r="E21" s="11" t="inlineStr">
        <is>
          <t>LocalStorage rỗng</t>
        </is>
      </c>
      <c r="F21" s="11" t="inlineStr">
        <is>
          <t>Chưa lưu ai</t>
        </is>
      </c>
      <c r="G21" s="11" t="inlineStr">
        <is>
          <t>1. Mở danh sách đã lưu</t>
        </is>
      </c>
      <c r="H21" s="11" t="inlineStr">
        <is>
          <t>Hiển thị trạng thái rỗng 'Bạn chưa lưu giảng viên nào'</t>
        </is>
      </c>
      <c r="I21" s="10" t="inlineStr">
        <is>
          <t>Low</t>
        </is>
      </c>
      <c r="J21" s="15" t="inlineStr">
        <is>
          <t>Pass</t>
        </is>
      </c>
      <c r="K21" s="11" t="inlineStr"/>
      <c r="L21" s="10" t="inlineStr"/>
      <c r="M21" s="11" t="inlineStr">
        <is>
          <t>Empty state</t>
        </is>
      </c>
    </row>
    <row r="22" ht="36" customHeight="1">
      <c r="A22" s="12" t="inlineStr">
        <is>
          <t>TC-FR05-001</t>
        </is>
      </c>
      <c r="B22" s="12" t="inlineStr">
        <is>
          <t>FR-05</t>
        </is>
      </c>
      <c r="C22" s="16" t="inlineStr">
        <is>
          <t>Phân hoạch tương đương (EP)</t>
        </is>
      </c>
      <c r="D22" s="16" t="inlineStr">
        <is>
          <t>Xem danh sách đánh giá của giảng viên sắp xếp theo mới nhất</t>
        </is>
      </c>
      <c r="E22" s="13" t="inlineStr">
        <is>
          <t>Giảng viên có đánh giá</t>
        </is>
      </c>
      <c r="F22" s="13" t="inlineStr">
        <is>
          <t>Sort: 'newest'</t>
        </is>
      </c>
      <c r="G22" s="13" t="inlineStr">
        <is>
          <t>1. Mở trang chi tiết 2. Chọn sắp xếp 'Mới nhất'</t>
        </is>
      </c>
      <c r="H22" s="13" t="inlineStr">
        <is>
          <t>Các bài đánh giá sắp xếp giảm dần theo ngày tạo</t>
        </is>
      </c>
      <c r="I22" s="12" t="inlineStr">
        <is>
          <t>Medium</t>
        </is>
      </c>
      <c r="J22" s="18" t="inlineStr">
        <is>
          <t>Pass</t>
        </is>
      </c>
      <c r="K22" s="13" t="inlineStr"/>
      <c r="L22" s="12" t="inlineStr"/>
      <c r="M22" s="13" t="inlineStr">
        <is>
          <t>Sort check</t>
        </is>
      </c>
    </row>
    <row r="23" ht="36" customHeight="1">
      <c r="A23" s="10" t="inlineStr">
        <is>
          <t>TC-FR05-002</t>
        </is>
      </c>
      <c r="B23" s="10" t="inlineStr">
        <is>
          <t>FR-05</t>
        </is>
      </c>
      <c r="C23" s="14" t="inlineStr">
        <is>
          <t>Chuyển trạng thái</t>
        </is>
      </c>
      <c r="D23" s="14" t="inlineStr">
        <is>
          <t>Upvote bài đánh giá lần đầu tiên</t>
        </is>
      </c>
      <c r="E23" s="11" t="inlineStr">
        <is>
          <t>Đang xem đánh giá</t>
        </is>
      </c>
      <c r="F23" s="11" t="inlineStr">
        <is>
          <t>Review ID: 'rev_001'</t>
        </is>
      </c>
      <c r="G23" s="11" t="inlineStr">
        <is>
          <t>1. Bấm nút 'Hữu ích' (Upvote) tại bài viết</t>
        </is>
      </c>
      <c r="H23" s="11" t="inlineStr">
        <is>
          <t>Số upvote tăng 1, icon chuyển màu active</t>
        </is>
      </c>
      <c r="I23" s="10" t="inlineStr">
        <is>
          <t>High</t>
        </is>
      </c>
      <c r="J23" s="15" t="inlineStr">
        <is>
          <t>Pass</t>
        </is>
      </c>
      <c r="K23" s="11" t="inlineStr"/>
      <c r="L23" s="10" t="inlineStr"/>
      <c r="M23" s="11" t="inlineStr">
        <is>
          <t>Upvote single</t>
        </is>
      </c>
    </row>
    <row r="24" ht="36" customHeight="1">
      <c r="A24" s="12" t="inlineStr">
        <is>
          <t>TC-FR05-003</t>
        </is>
      </c>
      <c r="B24" s="12" t="inlineStr">
        <is>
          <t>FR-05</t>
        </is>
      </c>
      <c r="C24" s="16" t="inlineStr">
        <is>
          <t>Giá trị biên (BVA)</t>
        </is>
      </c>
      <c r="D24" s="16" t="inlineStr">
        <is>
          <t>Spam bấm Upvote liên tục nhiều lần trên cùng một bài</t>
        </is>
      </c>
      <c r="E24" s="13" t="inlineStr">
        <is>
          <t>Đã upvote 1 lần</t>
        </is>
      </c>
      <c r="F24" s="13" t="inlineStr">
        <is>
          <t>Review ID: 'rev_001'</t>
        </is>
      </c>
      <c r="G24" s="13" t="inlineStr">
        <is>
          <t>1. Bấm nhanh nhiều lần nút Upvote</t>
        </is>
      </c>
      <c r="H24" s="13" t="inlineStr">
        <is>
          <t>Chỉ tính 1 vote duy nhất, không tăng thêm</t>
        </is>
      </c>
      <c r="I24" s="12" t="inlineStr">
        <is>
          <t>High</t>
        </is>
      </c>
      <c r="J24" s="17" t="inlineStr">
        <is>
          <t>Fail</t>
        </is>
      </c>
      <c r="K24" s="13" t="inlineStr">
        <is>
          <t>Số vote tăng liên tục không giới hạn</t>
        </is>
      </c>
      <c r="L24" s="17" t="inlineStr">
        <is>
          <t>BUG-002</t>
        </is>
      </c>
      <c r="M24" s="13" t="inlineStr">
        <is>
          <t>Trùng SEED-02</t>
        </is>
      </c>
    </row>
    <row r="25" ht="36" customHeight="1">
      <c r="A25" s="10" t="inlineStr">
        <is>
          <t>TC-FR05-004</t>
        </is>
      </c>
      <c r="B25" s="10" t="inlineStr">
        <is>
          <t>FR-05</t>
        </is>
      </c>
      <c r="C25" s="14" t="inlineStr">
        <is>
          <t>Phân hoạch tương đương (EP)</t>
        </is>
      </c>
      <c r="D25" s="14" t="inlineStr">
        <is>
          <t>Tương tác Upvote và kiểm tra render thẻ đánh giá</t>
        </is>
      </c>
      <c r="E25" s="11" t="inlineStr">
        <is>
          <t>Đang xem danh sách đánh giá</t>
        </is>
      </c>
      <c r="F25" s="11" t="inlineStr">
        <is>
          <t>Review ID: 'rev_001'</t>
        </is>
      </c>
      <c r="G25" s="11" t="inlineStr">
        <is>
          <t>1. Bấm Upvote 2. Cuộn nhẹ danh sách</t>
        </is>
      </c>
      <c r="H25" s="11" t="inlineStr">
        <is>
          <t>Thẻ đánh giá giữ nguyên cấu trúc DOM</t>
        </is>
      </c>
      <c r="I25" s="10" t="inlineStr">
        <is>
          <t>Medium</t>
        </is>
      </c>
      <c r="J25" s="19" t="inlineStr">
        <is>
          <t>Fail</t>
        </is>
      </c>
      <c r="K25" s="11" t="inlineStr">
        <is>
          <t>Thẻ đánh giá bị nhân đôi (duplicate card) trên UI</t>
        </is>
      </c>
      <c r="L25" s="19" t="inlineStr">
        <is>
          <t>BUG-007</t>
        </is>
      </c>
      <c r="M25" s="11" t="inlineStr">
        <is>
          <t>Trùng SEED-07</t>
        </is>
      </c>
    </row>
    <row r="26" ht="36" customHeight="1">
      <c r="A26" s="12" t="inlineStr">
        <is>
          <t>TC-FR06-001</t>
        </is>
      </c>
      <c r="B26" s="12" t="inlineStr">
        <is>
          <t>FR-06</t>
        </is>
      </c>
      <c r="C26" s="16" t="inlineStr">
        <is>
          <t>Phân hoạch tương đương (EP)</t>
        </is>
      </c>
      <c r="D26" s="16" t="inlineStr">
        <is>
          <t>Đăng đánh giá hợp lệ với điểm từ 1 đến 5 và nhận xét</t>
        </is>
      </c>
      <c r="E26" s="13" t="inlineStr">
        <is>
          <t>Đã đăng nhập thành viên</t>
        </is>
      </c>
      <c r="F26" s="13" t="inlineStr">
        <is>
          <t>Điểm: 4, Nhận xét: 'Thầy dạy rất nhiệt tình'</t>
        </is>
      </c>
      <c r="G26" s="13" t="inlineStr">
        <is>
          <t>1. Mở form đánh giá 2. Chọn điểm 4 3. Nhập nhận xét 4. Bấm Gửi</t>
        </is>
      </c>
      <c r="H26" s="13" t="inlineStr">
        <is>
          <t>Đánh giá gửi thành công, hiển thị trong danh sách và rollup cập nhật</t>
        </is>
      </c>
      <c r="I26" s="12" t="inlineStr">
        <is>
          <t>High</t>
        </is>
      </c>
      <c r="J26" s="18" t="inlineStr">
        <is>
          <t>Pass</t>
        </is>
      </c>
      <c r="K26" s="13" t="inlineStr"/>
      <c r="L26" s="12" t="inlineStr"/>
      <c r="M26" s="13" t="inlineStr">
        <is>
          <t>Valid submit</t>
        </is>
      </c>
    </row>
    <row r="27" ht="36" customHeight="1">
      <c r="A27" s="10" t="inlineStr">
        <is>
          <t>TC-FR06-002</t>
        </is>
      </c>
      <c r="B27" s="10" t="inlineStr">
        <is>
          <t>FR-06</t>
        </is>
      </c>
      <c r="C27" s="14" t="inlineStr">
        <is>
          <t>Giá trị biên (BVA)</t>
        </is>
      </c>
      <c r="D27" s="14" t="inlineStr">
        <is>
          <t>Đăng đánh giá với điểm = 0 (dưới biên dưới 1)</t>
        </is>
      </c>
      <c r="E27" s="11" t="inlineStr">
        <is>
          <t>Đã đăng nhập</t>
        </is>
      </c>
      <c r="F27" s="11" t="inlineStr">
        <is>
          <t>Điểm pedagogy = 0</t>
        </is>
      </c>
      <c r="G27" s="11" t="inlineStr">
        <is>
          <t>1. Gửi request đánh giá với điểm = 0</t>
        </is>
      </c>
      <c r="H27" s="11" t="inlineStr">
        <is>
          <t>Báo lỗi 400 'Điểm phải từ 1 đến 5', từ chối lưu</t>
        </is>
      </c>
      <c r="I27" s="10" t="inlineStr">
        <is>
          <t>High</t>
        </is>
      </c>
      <c r="J27" s="19" t="inlineStr">
        <is>
          <t>Fail</t>
        </is>
      </c>
      <c r="K27" s="11" t="inlineStr">
        <is>
          <t>Hệ thống lưu thành công điểm 0 vào database</t>
        </is>
      </c>
      <c r="L27" s="19" t="inlineStr">
        <is>
          <t>BUG-001</t>
        </is>
      </c>
      <c r="M27" s="11" t="inlineStr">
        <is>
          <t>Trùng SEED-01</t>
        </is>
      </c>
    </row>
    <row r="28" ht="36" customHeight="1">
      <c r="A28" s="12" t="inlineStr">
        <is>
          <t>TC-FR06-003</t>
        </is>
      </c>
      <c r="B28" s="12" t="inlineStr">
        <is>
          <t>FR-06</t>
        </is>
      </c>
      <c r="C28" s="16" t="inlineStr">
        <is>
          <t>Giá trị biên (BVA)</t>
        </is>
      </c>
      <c r="D28" s="16" t="inlineStr">
        <is>
          <t>Đăng đánh giá với điểm = 6 (vượt biên trên 5)</t>
        </is>
      </c>
      <c r="E28" s="13" t="inlineStr">
        <is>
          <t>Đã đăng nhập</t>
        </is>
      </c>
      <c r="F28" s="13" t="inlineStr">
        <is>
          <t>Điểm difficulty = 6</t>
        </is>
      </c>
      <c r="G28" s="13" t="inlineStr">
        <is>
          <t>1. Gửi request đánh giá với điểm = 6</t>
        </is>
      </c>
      <c r="H28" s="13" t="inlineStr">
        <is>
          <t>Báo lỗi 400 'Điểm phải từ 1 đến 5', từ chối lưu</t>
        </is>
      </c>
      <c r="I28" s="12" t="inlineStr">
        <is>
          <t>High</t>
        </is>
      </c>
      <c r="J28" s="17" t="inlineStr">
        <is>
          <t>Fail</t>
        </is>
      </c>
      <c r="K28" s="13" t="inlineStr">
        <is>
          <t>Hệ thống lưu thành công điểm 6 vào database</t>
        </is>
      </c>
      <c r="L28" s="17" t="inlineStr">
        <is>
          <t>BUG-001</t>
        </is>
      </c>
      <c r="M28" s="13" t="inlineStr">
        <is>
          <t>Trùng SEED-01</t>
        </is>
      </c>
    </row>
    <row r="29" ht="36" customHeight="1">
      <c r="A29" s="10" t="inlineStr">
        <is>
          <t>TC-FR06-004</t>
        </is>
      </c>
      <c r="B29" s="10" t="inlineStr">
        <is>
          <t>FR-06</t>
        </is>
      </c>
      <c r="C29" s="14" t="inlineStr">
        <is>
          <t>Giá trị biên (BVA)</t>
        </is>
      </c>
      <c r="D29" s="14" t="inlineStr">
        <is>
          <t>Đăng nhận xét có độ dài = 10 ký tự (biên tối thiểu hợp lệ)</t>
        </is>
      </c>
      <c r="E29" s="11" t="inlineStr">
        <is>
          <t>Đã đăng nhập</t>
        </is>
      </c>
      <c r="F29" s="11" t="inlineStr">
        <is>
          <t>Nhận xét 10 ký tự: 'Thầy dạy tốt'</t>
        </is>
      </c>
      <c r="G29" s="11" t="inlineStr">
        <is>
          <t>1. Nhập nhận xét 10 ký tự 2. Bấm Gửi</t>
        </is>
      </c>
      <c r="H29" s="11" t="inlineStr">
        <is>
          <t>Gửi thành công bài đánh giá</t>
        </is>
      </c>
      <c r="I29" s="10" t="inlineStr">
        <is>
          <t>Medium</t>
        </is>
      </c>
      <c r="J29" s="15" t="inlineStr">
        <is>
          <t>Pass</t>
        </is>
      </c>
      <c r="K29" s="11" t="inlineStr"/>
      <c r="L29" s="10" t="inlineStr"/>
      <c r="M29" s="11" t="inlineStr">
        <is>
          <t>Comment min boundary</t>
        </is>
      </c>
    </row>
    <row r="30" ht="36" customHeight="1">
      <c r="A30" s="12" t="inlineStr">
        <is>
          <t>TC-FR06-005</t>
        </is>
      </c>
      <c r="B30" s="12" t="inlineStr">
        <is>
          <t>FR-06</t>
        </is>
      </c>
      <c r="C30" s="16" t="inlineStr">
        <is>
          <t>Giá trị biên (BVA)</t>
        </is>
      </c>
      <c r="D30" s="16" t="inlineStr">
        <is>
          <t>Đăng nhận xét có độ dài = 9 ký tự (dưới biên tối thiểu)</t>
        </is>
      </c>
      <c r="E30" s="13" t="inlineStr">
        <is>
          <t>Đã đăng nhập</t>
        </is>
      </c>
      <c r="F30" s="13" t="inlineStr">
        <is>
          <t>Nhận xét 9 ký tự: 'Thầy tốt!'</t>
        </is>
      </c>
      <c r="G30" s="13" t="inlineStr">
        <is>
          <t>1. Nhập nhận xét 9 ký tự 2. Bấm Gửi</t>
        </is>
      </c>
      <c r="H30" s="13" t="inlineStr">
        <is>
          <t>Báo lỗi 'Nhận xét phải có ít nhất 10 ký tự'</t>
        </is>
      </c>
      <c r="I30" s="12" t="inlineStr">
        <is>
          <t>Medium</t>
        </is>
      </c>
      <c r="J30" s="18" t="inlineStr">
        <is>
          <t>Pass</t>
        </is>
      </c>
      <c r="K30" s="13" t="inlineStr"/>
      <c r="L30" s="12" t="inlineStr"/>
      <c r="M30" s="13" t="inlineStr">
        <is>
          <t>Comment invalid boundary</t>
        </is>
      </c>
    </row>
    <row r="31" ht="36" customHeight="1">
      <c r="A31" s="10" t="inlineStr">
        <is>
          <t>TC-FR06-006</t>
        </is>
      </c>
      <c r="B31" s="10" t="inlineStr">
        <is>
          <t>FR-06</t>
        </is>
      </c>
      <c r="C31" s="14" t="inlineStr">
        <is>
          <t>Phân hoạch tương đương (EP)</t>
        </is>
      </c>
      <c r="D31" s="14" t="inlineStr">
        <is>
          <t>Gửi request đánh giá với body JSON rỗng {}</t>
        </is>
      </c>
      <c r="E31" s="11" t="inlineStr">
        <is>
          <t>Client gửi API</t>
        </is>
      </c>
      <c r="F31" s="11" t="inlineStr">
        <is>
          <t>Body: {}</t>
        </is>
      </c>
      <c r="G31" s="11" t="inlineStr">
        <is>
          <t>1. POST /api/lecturers/[id]/reviews với body {}</t>
        </is>
      </c>
      <c r="H31" s="11" t="inlineStr">
        <is>
          <t>Trả về HTTP 400 Bad Request kèm message lỗi</t>
        </is>
      </c>
      <c r="I31" s="10" t="inlineStr">
        <is>
          <t>High</t>
        </is>
      </c>
      <c r="J31" s="19" t="inlineStr">
        <is>
          <t>Fail</t>
        </is>
      </c>
      <c r="K31" s="11" t="inlineStr">
        <is>
          <t>Server sập unhandled exception trả HTTP 500</t>
        </is>
      </c>
      <c r="L31" s="19" t="inlineStr">
        <is>
          <t>BUG-015</t>
        </is>
      </c>
      <c r="M31" s="11" t="inlineStr">
        <is>
          <t>Trùng SEED-15</t>
        </is>
      </c>
    </row>
    <row r="32" ht="36" customHeight="1">
      <c r="A32" s="12" t="inlineStr">
        <is>
          <t>TC-FR07-001</t>
        </is>
      </c>
      <c r="B32" s="12" t="inlineStr">
        <is>
          <t>FR-07</t>
        </is>
      </c>
      <c r="C32" s="16" t="inlineStr">
        <is>
          <t>Phân hoạch tương đương (EP)</t>
        </is>
      </c>
      <c r="D32" s="16" t="inlineStr">
        <is>
          <t>Gửi báo cáo đánh giá vi phạm tiêu chuẩn cộng đồng</t>
        </is>
      </c>
      <c r="E32" s="13" t="inlineStr">
        <is>
          <t>Đang xem bài đánh giá</t>
        </is>
      </c>
      <c r="F32" s="13" t="inlineStr">
        <is>
          <t>Lý do: 'Ngôn từ xúc phạm cá nhân'</t>
        </is>
      </c>
      <c r="G32" s="13" t="inlineStr">
        <is>
          <t>1. Bấm Báo cáo 2. Chọn lý do 3. Bấm Gửi báo cáo</t>
        </is>
      </c>
      <c r="H32" s="13" t="inlineStr">
        <is>
          <t>Thông báo 'Báo cáo đã được tiếp nhận để kiểm duyệt'</t>
        </is>
      </c>
      <c r="I32" s="12" t="inlineStr">
        <is>
          <t>High</t>
        </is>
      </c>
      <c r="J32" s="18" t="inlineStr">
        <is>
          <t>Pass</t>
        </is>
      </c>
      <c r="K32" s="13" t="inlineStr"/>
      <c r="L32" s="12" t="inlineStr"/>
      <c r="M32" s="13" t="inlineStr">
        <is>
          <t>Report review</t>
        </is>
      </c>
    </row>
    <row r="33" ht="36" customHeight="1">
      <c r="A33" s="10" t="inlineStr">
        <is>
          <t>TC-FR07-002</t>
        </is>
      </c>
      <c r="B33" s="10" t="inlineStr">
        <is>
          <t>FR-07</t>
        </is>
      </c>
      <c r="C33" s="14" t="inlineStr">
        <is>
          <t>Phân hoạch tương đương (EP)</t>
        </is>
      </c>
      <c r="D33" s="14" t="inlineStr">
        <is>
          <t>Giảng viên gửi yêu cầu đính chính học hàm kèm email .edu.vn</t>
        </is>
      </c>
      <c r="E33" s="11" t="inlineStr">
        <is>
          <t>Mở modal đính chính</t>
        </is>
      </c>
      <c r="F33" s="11" t="inlineStr">
        <is>
          <t>Email: 'dunglc@vju.ac.vn', Minh chứng URL</t>
        </is>
      </c>
      <c r="G33" s="11" t="inlineStr">
        <is>
          <t>1. Nhập form đính chính 2. Bấm Gửi yêu cầu</t>
        </is>
      </c>
      <c r="H33" s="11" t="inlineStr">
        <is>
          <t>Hệ thống ghi nhận yêu cầu vào hàng đợi kiểm duyệt</t>
        </is>
      </c>
      <c r="I33" s="10" t="inlineStr">
        <is>
          <t>High</t>
        </is>
      </c>
      <c r="J33" s="15" t="inlineStr">
        <is>
          <t>Pass</t>
        </is>
      </c>
      <c r="K33" s="11" t="inlineStr"/>
      <c r="L33" s="10" t="inlineStr"/>
      <c r="M33" s="11" t="inlineStr">
        <is>
          <t>Correction request valid</t>
        </is>
      </c>
    </row>
    <row r="34" ht="36" customHeight="1">
      <c r="A34" s="12" t="inlineStr">
        <is>
          <t>TC-FR07-003</t>
        </is>
      </c>
      <c r="B34" s="12" t="inlineStr">
        <is>
          <t>FR-07</t>
        </is>
      </c>
      <c r="C34" s="16" t="inlineStr">
        <is>
          <t>Phân hoạch tương đương (EP)</t>
        </is>
      </c>
      <c r="D34" s="16" t="inlineStr">
        <is>
          <t>Gửi yêu cầu đính chính với email cá nhân (gmail.com)</t>
        </is>
      </c>
      <c r="E34" s="13" t="inlineStr">
        <is>
          <t>Mở modal đính chính</t>
        </is>
      </c>
      <c r="F34" s="13" t="inlineStr">
        <is>
          <t>Email: 'dunglc@gmail.com'</t>
        </is>
      </c>
      <c r="G34" s="13" t="inlineStr">
        <is>
          <t>1. Nhập email gmail.com 2. Bấm Gửi</t>
        </is>
      </c>
      <c r="H34" s="13" t="inlineStr">
        <is>
          <t>Báo lỗi 'Yêu cầu phải sử dụng email công vụ trường (.edu.vn / .ac.vn)'</t>
        </is>
      </c>
      <c r="I34" s="12" t="inlineStr">
        <is>
          <t>Medium</t>
        </is>
      </c>
      <c r="J34" s="18" t="inlineStr">
        <is>
          <t>Pass</t>
        </is>
      </c>
      <c r="K34" s="13" t="inlineStr"/>
      <c r="L34" s="12" t="inlineStr"/>
      <c r="M34" s="13" t="inlineStr">
        <is>
          <t>Institutional email check</t>
        </is>
      </c>
    </row>
    <row r="35" ht="36" customHeight="1">
      <c r="A35" s="10" t="inlineStr">
        <is>
          <t>TC-FR07-004</t>
        </is>
      </c>
      <c r="B35" s="10" t="inlineStr">
        <is>
          <t>FR-07</t>
        </is>
      </c>
      <c r="C35" s="14" t="inlineStr">
        <is>
          <t>Bảng quyết định</t>
        </is>
      </c>
      <c r="D35" s="14" t="inlineStr">
        <is>
          <t>Kiểm tra bảng quyết định duyệt / từ chối yêu cầu đính chính</t>
        </is>
      </c>
      <c r="E35" s="11" t="inlineStr">
        <is>
          <t>Đăng nhập Admin</t>
        </is>
      </c>
      <c r="F35" s="11" t="inlineStr">
        <is>
          <t>Quyết định: Approve hoặc Reject</t>
        </is>
      </c>
      <c r="G35" s="11" t="inlineStr">
        <is>
          <t>1. Vào /admin 2. Thao tác duyệt yêu cầu</t>
        </is>
      </c>
      <c r="H35" s="11" t="inlineStr">
        <is>
          <t>Yêu cầu chuyển trạng thái và cập nhật hồ sơ tương ứng</t>
        </is>
      </c>
      <c r="I35" s="10" t="inlineStr">
        <is>
          <t>Medium</t>
        </is>
      </c>
      <c r="J35" s="15" t="inlineStr">
        <is>
          <t>Pass</t>
        </is>
      </c>
      <c r="K35" s="11" t="inlineStr"/>
      <c r="L35" s="10" t="inlineStr"/>
      <c r="M35" s="11" t="inlineStr">
        <is>
          <t>Decision table mod</t>
        </is>
      </c>
    </row>
    <row r="36" ht="36" customHeight="1">
      <c r="A36" s="12" t="inlineStr">
        <is>
          <t>TC-FR07-005</t>
        </is>
      </c>
      <c r="B36" s="12" t="inlineStr">
        <is>
          <t>FR-07</t>
        </is>
      </c>
      <c r="C36" s="16" t="inlineStr">
        <is>
          <t>Phân quyền</t>
        </is>
      </c>
      <c r="D36" s="16" t="inlineStr">
        <is>
          <t>Khách vãng lai truy cập trực tiếp trang quản trị /admin</t>
        </is>
      </c>
      <c r="E36" s="13" t="inlineStr">
        <is>
          <t>Chưa đăng nhập</t>
        </is>
      </c>
      <c r="F36" s="13" t="inlineStr">
        <is>
          <t>URL: '/admin'</t>
        </is>
      </c>
      <c r="G36" s="13" t="inlineStr">
        <is>
          <t>1. Mở tab ẩn danh 2. Truy cập /admin</t>
        </is>
      </c>
      <c r="H36" s="13" t="inlineStr">
        <is>
          <t>Redirect về đăng nhập hoặc trả HTTP 403 Forbidden</t>
        </is>
      </c>
      <c r="I36" s="12" t="inlineStr">
        <is>
          <t>High</t>
        </is>
      </c>
      <c r="J36" s="17" t="inlineStr">
        <is>
          <t>Fail</t>
        </is>
      </c>
      <c r="K36" s="13" t="inlineStr">
        <is>
          <t>Giao diện admin mở toang cho khách vãng lai</t>
        </is>
      </c>
      <c r="L36" s="17" t="inlineStr">
        <is>
          <t>BUG-006</t>
        </is>
      </c>
      <c r="M36" s="13" t="inlineStr">
        <is>
          <t>Trùng SEED-06</t>
        </is>
      </c>
    </row>
    <row r="37" ht="36" customHeight="1">
      <c r="A37" s="10" t="inlineStr">
        <is>
          <t>TC-FR08-001</t>
        </is>
      </c>
      <c r="B37" s="10" t="inlineStr">
        <is>
          <t>FR-08</t>
        </is>
      </c>
      <c r="C37" s="14" t="inlineStr">
        <is>
          <t>Phân hoạch tương đương (EP)</t>
        </is>
      </c>
      <c r="D37" s="14" t="inlineStr">
        <is>
          <t>Đăng nhập thành công bằng tài khoản Google sinh viên</t>
        </is>
      </c>
      <c r="E37" s="11" t="inlineStr">
        <is>
          <t>Đang ở modal đăng nhập</t>
        </is>
      </c>
      <c r="F37" s="11" t="inlineStr">
        <is>
          <t>Google OAuth hợp lệ</t>
        </is>
      </c>
      <c r="G37" s="11" t="inlineStr">
        <is>
          <t>1. Bấm 'Đăng nhập Google' 2. Xác thực tài khoản</t>
        </is>
      </c>
      <c r="H37" s="11" t="inlineStr">
        <is>
          <t>Đăng nhập thành công, hiển thị tên và avatar trên Navbar</t>
        </is>
      </c>
      <c r="I37" s="10" t="inlineStr">
        <is>
          <t>High</t>
        </is>
      </c>
      <c r="J37" s="15" t="inlineStr">
        <is>
          <t>Pass</t>
        </is>
      </c>
      <c r="K37" s="11" t="inlineStr"/>
      <c r="L37" s="10" t="inlineStr"/>
      <c r="M37" s="11" t="inlineStr">
        <is>
          <t>OAuth success</t>
        </is>
      </c>
    </row>
    <row r="38" ht="36" customHeight="1">
      <c r="A38" s="12" t="inlineStr">
        <is>
          <t>TC-FR08-002</t>
        </is>
      </c>
      <c r="B38" s="12" t="inlineStr">
        <is>
          <t>FR-08</t>
        </is>
      </c>
      <c r="C38" s="16" t="inlineStr">
        <is>
          <t>Chuyển trạng thái</t>
        </is>
      </c>
      <c r="D38" s="16" t="inlineStr">
        <is>
          <t>Đăng xuất khỏi hệ thống</t>
        </is>
      </c>
      <c r="E38" s="13" t="inlineStr">
        <is>
          <t>Đang đăng nhập</t>
        </is>
      </c>
      <c r="F38" s="13" t="inlineStr">
        <is>
          <t>Thao tác Đăng xuất</t>
        </is>
      </c>
      <c r="G38" s="13" t="inlineStr">
        <is>
          <t>1. Bấm vào menu cá nhân 2. Chọn Đăng xuất</t>
        </is>
      </c>
      <c r="H38" s="13" t="inlineStr">
        <is>
          <t>Xóa session cookie, chuyển Navbar về trạng thái Chưa đăng nhập</t>
        </is>
      </c>
      <c r="I38" s="12" t="inlineStr">
        <is>
          <t>Medium</t>
        </is>
      </c>
      <c r="J38" s="18" t="inlineStr">
        <is>
          <t>Pass</t>
        </is>
      </c>
      <c r="K38" s="13" t="inlineStr"/>
      <c r="L38" s="12" t="inlineStr"/>
      <c r="M38" s="13" t="inlineStr">
        <is>
          <t>Logout state</t>
        </is>
      </c>
    </row>
    <row r="39" ht="36" customHeight="1">
      <c r="A39" s="10" t="inlineStr">
        <is>
          <t>TC-FR08-003</t>
        </is>
      </c>
      <c r="B39" s="10" t="inlineStr">
        <is>
          <t>FR-08</t>
        </is>
      </c>
      <c r="C39" s="14" t="inlineStr">
        <is>
          <t>Phân hoạch tương đương (EP)</t>
        </is>
      </c>
      <c r="D39" s="14" t="inlineStr">
        <is>
          <t>Kiểm tra tính an toàn của Cookie phiên (HttpOnly, Secure)</t>
        </is>
      </c>
      <c r="E39" s="11" t="inlineStr">
        <is>
          <t>Đã đăng nhập</t>
        </is>
      </c>
      <c r="F39" s="11" t="inlineStr">
        <is>
          <t>Cookie 'auth_token'</t>
        </is>
      </c>
      <c r="G39" s="11" t="inlineStr">
        <is>
          <t>1. Kiểm tra cookie trong DevTools Application tab</t>
        </is>
      </c>
      <c r="H39" s="11" t="inlineStr">
        <is>
          <t>Cookie có cờ HttpOnly, SameSite=Lax, Secure trên HTTPS</t>
        </is>
      </c>
      <c r="I39" s="10" t="inlineStr">
        <is>
          <t>High</t>
        </is>
      </c>
      <c r="J39" s="15" t="inlineStr">
        <is>
          <t>Pass</t>
        </is>
      </c>
      <c r="K39" s="11" t="inlineStr"/>
      <c r="L39" s="10" t="inlineStr"/>
      <c r="M39" s="11" t="inlineStr">
        <is>
          <t>Cookie audit</t>
        </is>
      </c>
    </row>
    <row r="40" ht="36" customHeight="1">
      <c r="A40" s="12" t="inlineStr">
        <is>
          <t>TC-FR08-004</t>
        </is>
      </c>
      <c r="B40" s="12" t="inlineStr">
        <is>
          <t>FR-08</t>
        </is>
      </c>
      <c r="C40" s="16" t="inlineStr">
        <is>
          <t>Phân hoạch tương đương (EP)</t>
        </is>
      </c>
      <c r="D40" s="16" t="inlineStr">
        <is>
          <t>Truy cập tính năng cần xác thực khi chưa đăng nhập</t>
        </is>
      </c>
      <c r="E40" s="13" t="inlineStr">
        <is>
          <t>Chưa đăng nhập</t>
        </is>
      </c>
      <c r="F40" s="13" t="inlineStr">
        <is>
          <t>Thao tác viết review</t>
        </is>
      </c>
      <c r="G40" s="13" t="inlineStr">
        <is>
          <t>1. Bấm Viết đánh giá</t>
        </is>
      </c>
      <c r="H40" s="13" t="inlineStr">
        <is>
          <t>Mở modal yêu cầu đăng nhập trước khi thực hiện</t>
        </is>
      </c>
      <c r="I40" s="12" t="inlineStr">
        <is>
          <t>Medium</t>
        </is>
      </c>
      <c r="J40" s="18" t="inlineStr">
        <is>
          <t>Pass</t>
        </is>
      </c>
      <c r="K40" s="13" t="inlineStr"/>
      <c r="L40" s="12" t="inlineStr"/>
      <c r="M40" s="13" t="inlineStr">
        <is>
          <t>Auth guard modal</t>
        </is>
      </c>
    </row>
    <row r="41" ht="36" customHeight="1">
      <c r="A41" s="10" t="inlineStr">
        <is>
          <t>TC-FR09-001</t>
        </is>
      </c>
      <c r="B41" s="10" t="inlineStr">
        <is>
          <t>FR-09</t>
        </is>
      </c>
      <c r="C41" s="14" t="inlineStr">
        <is>
          <t>Phân hoạch tương đương (EP)</t>
        </is>
      </c>
      <c r="D41" s="14" t="inlineStr">
        <is>
          <t>Xem danh sách các đánh giá do chính mình đã đăng</t>
        </is>
      </c>
      <c r="E41" s="11" t="inlineStr">
        <is>
          <t>Đã đăng nhập tài khoản có 2 bài đánh giá</t>
        </is>
      </c>
      <c r="F41" s="11" t="inlineStr">
        <is>
          <t>User: 'student01'</t>
        </is>
      </c>
      <c r="G41" s="11" t="inlineStr">
        <is>
          <t>1. Truy cập /my-reviews</t>
        </is>
      </c>
      <c r="H41" s="11" t="inlineStr">
        <is>
          <t>Hiển thị đúng 2 bài đánh giá kèm nút chỉnh sửa/xóa</t>
        </is>
      </c>
      <c r="I41" s="10" t="inlineStr">
        <is>
          <t>Medium</t>
        </is>
      </c>
      <c r="J41" s="15" t="inlineStr">
        <is>
          <t>Pass</t>
        </is>
      </c>
      <c r="K41" s="11" t="inlineStr"/>
      <c r="L41" s="10" t="inlineStr"/>
      <c r="M41" s="11" t="inlineStr">
        <is>
          <t>My reviews list</t>
        </is>
      </c>
    </row>
    <row r="42" ht="36" customHeight="1">
      <c r="A42" s="12" t="inlineStr">
        <is>
          <t>TC-FR09-002</t>
        </is>
      </c>
      <c r="B42" s="12" t="inlineStr">
        <is>
          <t>FR-09</t>
        </is>
      </c>
      <c r="C42" s="16" t="inlineStr">
        <is>
          <t>Chuyển trạng thái</t>
        </is>
      </c>
      <c r="D42" s="16" t="inlineStr">
        <is>
          <t>Xóa bài đánh giá của chính mình</t>
        </is>
      </c>
      <c r="E42" s="13" t="inlineStr">
        <is>
          <t>Có bài đánh giá trong /my-reviews</t>
        </is>
      </c>
      <c r="F42" s="13" t="inlineStr">
        <is>
          <t>Review ID: 'rev_own'</t>
        </is>
      </c>
      <c r="G42" s="13" t="inlineStr">
        <is>
          <t>1. Bấm nút Xóa 2. Xác nhận tại popup</t>
        </is>
      </c>
      <c r="H42" s="13" t="inlineStr">
        <is>
          <t>Bài đánh giá bị xóa, điểm trung bình giảng viên tự tính lại</t>
        </is>
      </c>
      <c r="I42" s="12" t="inlineStr">
        <is>
          <t>High</t>
        </is>
      </c>
      <c r="J42" s="18" t="inlineStr">
        <is>
          <t>Pass</t>
        </is>
      </c>
      <c r="K42" s="13" t="inlineStr"/>
      <c r="L42" s="12" t="inlineStr"/>
      <c r="M42" s="13" t="inlineStr">
        <is>
          <t>Delete own review</t>
        </is>
      </c>
    </row>
    <row r="43" ht="36" customHeight="1">
      <c r="A43" s="10" t="inlineStr">
        <is>
          <t>TC-FR09-003</t>
        </is>
      </c>
      <c r="B43" s="10" t="inlineStr">
        <is>
          <t>FR-09</t>
        </is>
      </c>
      <c r="C43" s="14" t="inlineStr">
        <is>
          <t>Phân quyền</t>
        </is>
      </c>
      <c r="D43" s="14" t="inlineStr">
        <is>
          <t>Cố tình xóa bài đánh giá của người dùng khác qua API</t>
        </is>
      </c>
      <c r="E43" s="11" t="inlineStr">
        <is>
          <t>Đăng nhập user A</t>
        </is>
      </c>
      <c r="F43" s="11" t="inlineStr">
        <is>
          <t>DELETE /api/reviews/rev_of_user_B</t>
        </is>
      </c>
      <c r="G43" s="11" t="inlineStr">
        <is>
          <t>1. Gửi request DELETE với ID bài viết của user B</t>
        </is>
      </c>
      <c r="H43" s="11" t="inlineStr">
        <is>
          <t>Trả về HTTP 403 Forbidden, không cho phép xóa</t>
        </is>
      </c>
      <c r="I43" s="10" t="inlineStr">
        <is>
          <t>High</t>
        </is>
      </c>
      <c r="J43" s="15" t="inlineStr">
        <is>
          <t>Pass</t>
        </is>
      </c>
      <c r="K43" s="11" t="inlineStr"/>
      <c r="L43" s="10" t="inlineStr"/>
      <c r="M43" s="11" t="inlineStr">
        <is>
          <t>Cross-user delete prevention</t>
        </is>
      </c>
    </row>
    <row r="44" ht="36" customHeight="1">
      <c r="A44" s="12" t="inlineStr">
        <is>
          <t>TC-FR09-004</t>
        </is>
      </c>
      <c r="B44" s="12" t="inlineStr">
        <is>
          <t>FR-09</t>
        </is>
      </c>
      <c r="C44" s="16" t="inlineStr">
        <is>
          <t>Phân hoạch tương đương (EP)</t>
        </is>
      </c>
      <c r="D44" s="16" t="inlineStr">
        <is>
          <t>Xem trang đánh giá của tôi khi chưa từng viết bài nào</t>
        </is>
      </c>
      <c r="E44" s="13" t="inlineStr">
        <is>
          <t>Tài khoản mới tạo</t>
        </is>
      </c>
      <c r="F44" s="13" t="inlineStr">
        <is>
          <t>User mới</t>
        </is>
      </c>
      <c r="G44" s="13" t="inlineStr">
        <is>
          <t>1. Truy cập /my-reviews</t>
        </is>
      </c>
      <c r="H44" s="13" t="inlineStr">
        <is>
          <t>Hiển thị thông báo rỗng 'Bạn chưa có đánh giá nào'</t>
        </is>
      </c>
      <c r="I44" s="12" t="inlineStr">
        <is>
          <t>Low</t>
        </is>
      </c>
      <c r="J44" s="18" t="inlineStr">
        <is>
          <t>Pass</t>
        </is>
      </c>
      <c r="K44" s="13" t="inlineStr"/>
      <c r="L44" s="12" t="inlineStr"/>
      <c r="M44" s="13" t="inlineStr">
        <is>
          <t>Empty state check</t>
        </is>
      </c>
    </row>
    <row r="45" ht="36" customHeight="1">
      <c r="A45" s="10" t="inlineStr">
        <is>
          <t>TC-FR10-001</t>
        </is>
      </c>
      <c r="B45" s="10" t="inlineStr">
        <is>
          <t>FR-10</t>
        </is>
      </c>
      <c r="C45" s="14" t="inlineStr">
        <is>
          <t>Phân hoạch tương đương (EP)</t>
        </is>
      </c>
      <c r="D45" s="14" t="inlineStr">
        <is>
          <t>Xem chi tiết trường đại học và danh sách giảng viên trực thuộc</t>
        </is>
      </c>
      <c r="E45" s="11" t="inlineStr">
        <is>
          <t>Trường tồn tại</t>
        </is>
      </c>
      <c r="F45" s="11" t="inlineStr">
        <is>
          <t>Trường VJU: 'sch_vju'</t>
        </is>
      </c>
      <c r="G45" s="11" t="inlineStr">
        <is>
          <t>1. Truy cập /universities/sch_vju</t>
        </is>
      </c>
      <c r="H45" s="11" t="inlineStr">
        <is>
          <t>Hiển thị thông tin trường, số lượng giảng viên và danh sách giảng viên</t>
        </is>
      </c>
      <c r="I45" s="10" t="inlineStr">
        <is>
          <t>High</t>
        </is>
      </c>
      <c r="J45" s="15" t="inlineStr">
        <is>
          <t>Pass</t>
        </is>
      </c>
      <c r="K45" s="11" t="inlineStr"/>
      <c r="L45" s="10" t="inlineStr"/>
      <c r="M45" s="11" t="inlineStr">
        <is>
          <t>School detail</t>
        </is>
      </c>
    </row>
    <row r="46" ht="36" customHeight="1">
      <c r="A46" s="12" t="inlineStr">
        <is>
          <t>TC-FR10-002</t>
        </is>
      </c>
      <c r="B46" s="12" t="inlineStr">
        <is>
          <t>FR-10</t>
        </is>
      </c>
      <c r="C46" s="16" t="inlineStr">
        <is>
          <t>Phân hoạch tương đương (EP)</t>
        </is>
      </c>
      <c r="D46" s="16" t="inlineStr">
        <is>
          <t>Tìm kiếm giảng viên ngay bên trong trang trường đại học</t>
        </is>
      </c>
      <c r="E46" s="13" t="inlineStr">
        <is>
          <t>Đang ở /universities/sch_vju</t>
        </is>
      </c>
      <c r="F46" s="13" t="inlineStr">
        <is>
          <t>Từ khóa: 'Dũng'</t>
        </is>
      </c>
      <c r="G46" s="13" t="inlineStr">
        <is>
          <t>1. Nhập từ khóa vào ô tìm kiếm nội bộ trường</t>
        </is>
      </c>
      <c r="H46" s="13" t="inlineStr">
        <is>
          <t>Chỉ lọc các giảng viên tên Dũng thuộc trường VJU</t>
        </is>
      </c>
      <c r="I46" s="12" t="inlineStr">
        <is>
          <t>Medium</t>
        </is>
      </c>
      <c r="J46" s="18" t="inlineStr">
        <is>
          <t>Pass</t>
        </is>
      </c>
      <c r="K46" s="13" t="inlineStr"/>
      <c r="L46" s="12" t="inlineStr"/>
      <c r="M46" s="13" t="inlineStr">
        <is>
          <t>In-school search</t>
        </is>
      </c>
    </row>
    <row r="47" ht="36" customHeight="1">
      <c r="A47" s="10" t="inlineStr">
        <is>
          <t>TC-FR10-003</t>
        </is>
      </c>
      <c r="B47" s="10" t="inlineStr">
        <is>
          <t>FR-10</t>
        </is>
      </c>
      <c r="C47" s="14" t="inlineStr">
        <is>
          <t>Phân hoạch tương đương (EP)</t>
        </is>
      </c>
      <c r="D47" s="14" t="inlineStr">
        <is>
          <t>Xem trang trường với ID không tồn tại</t>
        </is>
      </c>
      <c r="E47" s="11" t="inlineStr">
        <is>
          <t>Mở trình duyệt</t>
        </is>
      </c>
      <c r="F47" s="11" t="inlineStr">
        <is>
          <t>ID: 'sch_invalid_000'</t>
        </is>
      </c>
      <c r="G47" s="11" t="inlineStr">
        <is>
          <t>1. Truy cập /universities/sch_invalid_000</t>
        </is>
      </c>
      <c r="H47" s="11" t="inlineStr">
        <is>
          <t>Trả về trang 404 Không tìm thấy trường</t>
        </is>
      </c>
      <c r="I47" s="10" t="inlineStr">
        <is>
          <t>Low</t>
        </is>
      </c>
      <c r="J47" s="15" t="inlineStr">
        <is>
          <t>Pass</t>
        </is>
      </c>
      <c r="K47" s="11" t="inlineStr"/>
      <c r="L47" s="10" t="inlineStr"/>
      <c r="M47" s="11" t="inlineStr">
        <is>
          <t>School 404</t>
        </is>
      </c>
    </row>
    <row r="48" ht="36" customHeight="1">
      <c r="A48" s="12" t="inlineStr">
        <is>
          <t>TC-FR10-004</t>
        </is>
      </c>
      <c r="B48" s="12" t="inlineStr">
        <is>
          <t>FR-10</t>
        </is>
      </c>
      <c r="C48" s="16" t="inlineStr">
        <is>
          <t>Phân hoạch tương đương (EP)</t>
        </is>
      </c>
      <c r="D48" s="16" t="inlineStr">
        <is>
          <t>Xem danh sách tất cả các trường trên toàn quốc</t>
        </is>
      </c>
      <c r="E48" s="13" t="inlineStr">
        <is>
          <t>Đang ở trang chủ</t>
        </is>
      </c>
      <c r="F48" s="13" t="inlineStr">
        <is>
          <t>Menu 'Trường đại học'</t>
        </is>
      </c>
      <c r="G48" s="13" t="inlineStr">
        <is>
          <t>1. Truy cập /universities</t>
        </is>
      </c>
      <c r="H48" s="13" t="inlineStr">
        <is>
          <t>Hiển thị danh sách các trường kèm số lượng giảng viên</t>
        </is>
      </c>
      <c r="I48" s="12" t="inlineStr">
        <is>
          <t>Medium</t>
        </is>
      </c>
      <c r="J48" s="18" t="inlineStr">
        <is>
          <t>Pass</t>
        </is>
      </c>
      <c r="K48" s="13" t="inlineStr"/>
      <c r="L48" s="12" t="inlineStr"/>
      <c r="M48" s="13" t="inlineStr">
        <is>
          <t>Nationwide schools</t>
        </is>
      </c>
    </row>
    <row r="49" ht="36" customHeight="1">
      <c r="A49" s="10" t="inlineStr">
        <is>
          <t>TC-FR11-001</t>
        </is>
      </c>
      <c r="B49" s="10" t="inlineStr">
        <is>
          <t>FR-11</t>
        </is>
      </c>
      <c r="C49" s="14" t="inlineStr">
        <is>
          <t>Chuyển trạng thái</t>
        </is>
      </c>
      <c r="D49" s="14" t="inlineStr">
        <is>
          <t>Chuyển đổi ngôn ngữ từ VI sang EN trên trang chủ</t>
        </is>
      </c>
      <c r="E49" s="11" t="inlineStr">
        <is>
          <t>Đang ở trang chủ tiếng Việt</t>
        </is>
      </c>
      <c r="F49" s="11" t="inlineStr">
        <is>
          <t>Thao tác chọn 'EN'</t>
        </is>
      </c>
      <c r="G49" s="11" t="inlineStr">
        <is>
          <t>1. Bấm Language Switcher chọn 'EN'</t>
        </is>
      </c>
      <c r="H49" s="11" t="inlineStr">
        <is>
          <t>Giao diện chuyển sang tiếng Anh, URL có tiền tố /en</t>
        </is>
      </c>
      <c r="I49" s="10" t="inlineStr">
        <is>
          <t>Medium</t>
        </is>
      </c>
      <c r="J49" s="15" t="inlineStr">
        <is>
          <t>Pass</t>
        </is>
      </c>
      <c r="K49" s="11" t="inlineStr"/>
      <c r="L49" s="10" t="inlineStr"/>
      <c r="M49" s="11" t="inlineStr">
        <is>
          <t>Language switch VI-&gt;EN</t>
        </is>
      </c>
    </row>
    <row r="50" ht="36" customHeight="1">
      <c r="A50" s="12" t="inlineStr">
        <is>
          <t>TC-FR11-002</t>
        </is>
      </c>
      <c r="B50" s="12" t="inlineStr">
        <is>
          <t>FR-11</t>
        </is>
      </c>
      <c r="C50" s="16" t="inlineStr">
        <is>
          <t>Chuyển trạng thái</t>
        </is>
      </c>
      <c r="D50" s="16" t="inlineStr">
        <is>
          <t>Chuyển đổi ngôn ngữ khi đang có bộ lọc và từ khóa tìm kiếm</t>
        </is>
      </c>
      <c r="E50" s="13" t="inlineStr">
        <is>
          <t>Đang ở /professors?q=Hoa&amp;dept=IT</t>
        </is>
      </c>
      <c r="F50" s="13" t="inlineStr">
        <is>
          <t>Chuyển sang EN</t>
        </is>
      </c>
      <c r="G50" s="13" t="inlineStr">
        <is>
          <t>1. Bấm chọn 'EN' trên thanh điều hướng</t>
        </is>
      </c>
      <c r="H50" s="13" t="inlineStr">
        <is>
          <t>URL chuyển sang /en/professors?q=Hoa&amp;dept=IT, giữ nguyên bộ lọc</t>
        </is>
      </c>
      <c r="I50" s="12" t="inlineStr">
        <is>
          <t>High</t>
        </is>
      </c>
      <c r="J50" s="17" t="inlineStr">
        <is>
          <t>Fail</t>
        </is>
      </c>
      <c r="K50" s="13" t="inlineStr">
        <is>
          <t>URL bị reset về /en/professors, mất sạch từ khóa và filter</t>
        </is>
      </c>
      <c r="L50" s="17" t="inlineStr">
        <is>
          <t>BUG-011</t>
        </is>
      </c>
      <c r="M50" s="13" t="inlineStr">
        <is>
          <t>Trùng SEED-11</t>
        </is>
      </c>
    </row>
    <row r="51" ht="36" customHeight="1">
      <c r="A51" s="10" t="inlineStr">
        <is>
          <t>TC-FR11-003</t>
        </is>
      </c>
      <c r="B51" s="10" t="inlineStr">
        <is>
          <t>FR-11</t>
        </is>
      </c>
      <c r="C51" s="14" t="inlineStr">
        <is>
          <t>Phân hoạch tương đương (EP)</t>
        </is>
      </c>
      <c r="D51" s="14" t="inlineStr">
        <is>
          <t>Kiểm tra dịch thuật các nhãn trên form đánh giá tiếng Anh</t>
        </is>
      </c>
      <c r="E51" s="11" t="inlineStr">
        <is>
          <t>Đang ở /en/professors/[id]/rate</t>
        </is>
      </c>
      <c r="F51" s="11" t="inlineStr">
        <is>
          <t>Giao diện tiếng Anh</t>
        </is>
      </c>
      <c r="G51" s="11" t="inlineStr">
        <is>
          <t>1. Kiểm tra nhãn 'Tính công bằng' và nút gửi</t>
        </is>
      </c>
      <c r="H51" s="11" t="inlineStr">
        <is>
          <t>Tất cả nhãn hiển thị 100% tiếng Anh ('Grading Fairness', 'Submit')</t>
        </is>
      </c>
      <c r="I51" s="10" t="inlineStr">
        <is>
          <t>Medium</t>
        </is>
      </c>
      <c r="J51" s="19" t="inlineStr">
        <is>
          <t>Fail</t>
        </is>
      </c>
      <c r="K51" s="11" t="inlineStr">
        <is>
          <t>Các nhãn vẫn hiển thị tiếng Việt thô do hardcode</t>
        </is>
      </c>
      <c r="L51" s="19" t="inlineStr">
        <is>
          <t>BUG-012</t>
        </is>
      </c>
      <c r="M51" s="11" t="inlineStr">
        <is>
          <t>Trùng SEED-12</t>
        </is>
      </c>
    </row>
    <row r="52" ht="36" customHeight="1">
      <c r="A52" s="12" t="inlineStr">
        <is>
          <t>TC-FR11-004</t>
        </is>
      </c>
      <c r="B52" s="12" t="inlineStr">
        <is>
          <t>FR-11</t>
        </is>
      </c>
      <c r="C52" s="16" t="inlineStr">
        <is>
          <t>Chuyển trạng thái</t>
        </is>
      </c>
      <c r="D52" s="16" t="inlineStr">
        <is>
          <t>Chuyển đổi ngược lại từ EN sang VI</t>
        </is>
      </c>
      <c r="E52" s="13" t="inlineStr">
        <is>
          <t>Đang ở giao diện tiếng Anh</t>
        </is>
      </c>
      <c r="F52" s="13" t="inlineStr">
        <is>
          <t>Thao tác chọn 'VI'</t>
        </is>
      </c>
      <c r="G52" s="13" t="inlineStr">
        <is>
          <t>1. Bấm Language Switcher chọn 'VI'</t>
        </is>
      </c>
      <c r="H52" s="13" t="inlineStr">
        <is>
          <t>Giao diện quay về tiếng Việt chuẩn xác</t>
        </is>
      </c>
      <c r="I52" s="12" t="inlineStr">
        <is>
          <t>Low</t>
        </is>
      </c>
      <c r="J52" s="18" t="inlineStr">
        <is>
          <t>Pass</t>
        </is>
      </c>
      <c r="K52" s="13" t="inlineStr"/>
      <c r="L52" s="12" t="inlineStr"/>
      <c r="M52" s="13" t="inlineStr">
        <is>
          <t>Language switch EN-&gt;VI</t>
        </is>
      </c>
    </row>
    <row r="53" ht="36" customHeight="1">
      <c r="A53" s="10" t="inlineStr">
        <is>
          <t>TC-FR12-001</t>
        </is>
      </c>
      <c r="B53" s="10" t="inlineStr">
        <is>
          <t>FR-12</t>
        </is>
      </c>
      <c r="C53" s="14" t="inlineStr">
        <is>
          <t>Phân quyền</t>
        </is>
      </c>
      <c r="D53" s="14" t="inlineStr">
        <is>
          <t>Đăng nhập tài khoản Quản trị viên và truy cập /admin</t>
        </is>
      </c>
      <c r="E53" s="11" t="inlineStr">
        <is>
          <t>Tài khoản có role ADMIN</t>
        </is>
      </c>
      <c r="F53" s="11" t="inlineStr">
        <is>
          <t>User: 'admin@rateurprofs.site'</t>
        </is>
      </c>
      <c r="G53" s="11" t="inlineStr">
        <is>
          <t>1. Đăng nhập tài khoản Admin 2. Truy cập /admin</t>
        </is>
      </c>
      <c r="H53" s="11" t="inlineStr">
        <is>
          <t>Truy cập thành công, hiển thị các tab Kiểm duyệt, Đính chính, Dữ liệu</t>
        </is>
      </c>
      <c r="I53" s="10" t="inlineStr">
        <is>
          <t>High</t>
        </is>
      </c>
      <c r="J53" s="15" t="inlineStr">
        <is>
          <t>Pass</t>
        </is>
      </c>
      <c r="K53" s="11" t="inlineStr"/>
      <c r="L53" s="10" t="inlineStr"/>
      <c r="M53" s="11" t="inlineStr">
        <is>
          <t>Admin dashboard access</t>
        </is>
      </c>
    </row>
    <row r="54" ht="36" customHeight="1">
      <c r="A54" s="12" t="inlineStr">
        <is>
          <t>TC-FR12-002</t>
        </is>
      </c>
      <c r="B54" s="12" t="inlineStr">
        <is>
          <t>FR-12</t>
        </is>
      </c>
      <c r="C54" s="16" t="inlineStr">
        <is>
          <t>Bảng quyết định</t>
        </is>
      </c>
      <c r="D54" s="16" t="inlineStr">
        <is>
          <t>Phê duyệt yêu cầu đính chính học hàm của giảng viên</t>
        </is>
      </c>
      <c r="E54" s="13" t="inlineStr">
        <is>
          <t>Đang ở tab Đính chính</t>
        </is>
      </c>
      <c r="F54" s="13" t="inlineStr">
        <is>
          <t>Yêu cầu ID: 'REQ-001'</t>
        </is>
      </c>
      <c r="G54" s="13" t="inlineStr">
        <is>
          <t>1. Bấm nút Phê duyệt 2. Kiểm tra hồ sơ giảng viên</t>
        </is>
      </c>
      <c r="H54" s="13" t="inlineStr">
        <is>
          <t>Yêu cầu chuyển trạng thái APPROVED, học hàm giảng viên được cập nhật</t>
        </is>
      </c>
      <c r="I54" s="12" t="inlineStr">
        <is>
          <t>High</t>
        </is>
      </c>
      <c r="J54" s="18" t="inlineStr">
        <is>
          <t>Pass</t>
        </is>
      </c>
      <c r="K54" s="13" t="inlineStr"/>
      <c r="L54" s="12" t="inlineStr"/>
      <c r="M54" s="13" t="inlineStr">
        <is>
          <t>Approve correction</t>
        </is>
      </c>
    </row>
    <row r="55" ht="36" customHeight="1">
      <c r="A55" s="10" t="inlineStr">
        <is>
          <t>TC-FR12-003</t>
        </is>
      </c>
      <c r="B55" s="10" t="inlineStr">
        <is>
          <t>FR-12</t>
        </is>
      </c>
      <c r="C55" s="14" t="inlineStr">
        <is>
          <t>Bảng quyết định</t>
        </is>
      </c>
      <c r="D55" s="14" t="inlineStr">
        <is>
          <t>Từ chối yêu cầu đính chính do thiếu minh chứng</t>
        </is>
      </c>
      <c r="E55" s="11" t="inlineStr">
        <is>
          <t>Đang ở tab Đính chính</t>
        </is>
      </c>
      <c r="F55" s="11" t="inlineStr">
        <is>
          <t>Yêu cầu ID: 'REQ-002'</t>
        </is>
      </c>
      <c r="G55" s="11" t="inlineStr">
        <is>
          <t>1. Bấm Từ chối 2. Nhập lý do từ chối 3. Xác nhận</t>
        </is>
      </c>
      <c r="H55" s="11" t="inlineStr">
        <is>
          <t>Yêu cầu chuyển REJECTED kèm lý do thông báo cho người gửi</t>
        </is>
      </c>
      <c r="I55" s="10" t="inlineStr">
        <is>
          <t>Medium</t>
        </is>
      </c>
      <c r="J55" s="15" t="inlineStr">
        <is>
          <t>Pass</t>
        </is>
      </c>
      <c r="K55" s="11" t="inlineStr"/>
      <c r="L55" s="10" t="inlineStr"/>
      <c r="M55" s="11" t="inlineStr">
        <is>
          <t>Reject correction</t>
        </is>
      </c>
    </row>
    <row r="56" ht="36" customHeight="1">
      <c r="A56" s="12" t="inlineStr">
        <is>
          <t>TC-FR12-004</t>
        </is>
      </c>
      <c r="B56" s="12" t="inlineStr">
        <is>
          <t>FR-12</t>
        </is>
      </c>
      <c r="C56" s="16" t="inlineStr">
        <is>
          <t>Chuyển trạng thái</t>
        </is>
      </c>
      <c r="D56" s="16" t="inlineStr">
        <is>
          <t>Ẩn bài đánh giá vi phạm khỏi hiển thị công khai</t>
        </is>
      </c>
      <c r="E56" s="13" t="inlineStr">
        <is>
          <t>Đang ở tab Kiểm duyệt</t>
        </is>
      </c>
      <c r="F56" s="13" t="inlineStr">
        <is>
          <t>Review ID: 'rev_bad'</t>
        </is>
      </c>
      <c r="G56" s="13" t="inlineStr">
        <is>
          <t>1. Bấm nút Ẩn bài viết 2. Kiểm tra trang giảng viên</t>
        </is>
      </c>
      <c r="H56" s="13" t="inlineStr">
        <is>
          <t>Bài viết bị ẩn, điểm đánh giá bị trừ khỏi tổng rollup</t>
        </is>
      </c>
      <c r="I56" s="12" t="inlineStr">
        <is>
          <t>High</t>
        </is>
      </c>
      <c r="J56" s="18" t="inlineStr">
        <is>
          <t>Pass</t>
        </is>
      </c>
      <c r="K56" s="13" t="inlineStr"/>
      <c r="L56" s="12" t="inlineStr"/>
      <c r="M56" s="13" t="inlineStr">
        <is>
          <t>Hide bad review</t>
        </is>
      </c>
    </row>
    <row r="57" ht="36" customHeight="1">
      <c r="A57" s="10" t="inlineStr">
        <is>
          <t>TC-FR12-005</t>
        </is>
      </c>
      <c r="B57" s="10" t="inlineStr">
        <is>
          <t>FR-12</t>
        </is>
      </c>
      <c r="C57" s="14" t="inlineStr">
        <is>
          <t>Phân hoạch tương đương (EP)</t>
        </is>
      </c>
      <c r="D57" s="14" t="inlineStr">
        <is>
          <t>Admin lọc danh sách yêu cầu theo trạng thái (Pending / Approved / Rejected)</t>
        </is>
      </c>
      <c r="E57" s="11" t="inlineStr">
        <is>
          <t>Đang ở /admin</t>
        </is>
      </c>
      <c r="F57" s="11" t="inlineStr">
        <is>
          <t>Filter status</t>
        </is>
      </c>
      <c r="G57" s="11" t="inlineStr">
        <is>
          <t>1. Chọn dropdown 'Chờ duyệt' 2. Quan sát bảng</t>
        </is>
      </c>
      <c r="H57" s="11" t="inlineStr">
        <is>
          <t>Chỉ hiển thị các yêu cầu có trạng thái tương ứng</t>
        </is>
      </c>
      <c r="I57" s="10" t="inlineStr">
        <is>
          <t>Low</t>
        </is>
      </c>
      <c r="J57" s="15" t="inlineStr">
        <is>
          <t>Pass</t>
        </is>
      </c>
      <c r="K57" s="11" t="inlineStr"/>
      <c r="L57" s="10" t="inlineStr"/>
      <c r="M57" s="11" t="inlineStr">
        <is>
          <t>Admin status filter</t>
        </is>
      </c>
    </row>
    <row r="58" ht="36" customHeight="1">
      <c r="A58" s="12" t="inlineStr">
        <is>
          <t>TC-FLOW01-001</t>
        </is>
      </c>
      <c r="B58" s="12" t="inlineStr">
        <is>
          <t>FLOW-01</t>
        </is>
      </c>
      <c r="C58" s="16" t="inlineStr">
        <is>
          <t>Use case / E2E</t>
        </is>
      </c>
      <c r="D58" s="16" t="inlineStr">
        <is>
          <t>Luồng chính E2E: Tìm kiếm giảng viên -&gt; Xem hồ sơ -&gt; Đăng nhập -&gt; Viết đánh giá thành công</t>
        </is>
      </c>
      <c r="E58" s="13" t="inlineStr">
        <is>
          <t>Hệ thống hoạt động bình thường</t>
        </is>
      </c>
      <c r="F58" s="13" t="inlineStr">
        <is>
          <t>Dữ liệu hợp lệ đầy đủ</t>
        </is>
      </c>
      <c r="G58" s="13" t="inlineStr">
        <is>
          <t>1. Tìm 'Nguyễn Văn A' 2. Mở hồ sơ 3. Đăng nhập Google 4. Chấm điểm 5 tiêu chí và nhận xét 5. Gửi</t>
        </is>
      </c>
      <c r="H58" s="13" t="inlineStr">
        <is>
          <t>Đánh giá xuất hiện trên trang, điểm trung bình cập nhật ngay lập tức</t>
        </is>
      </c>
      <c r="I58" s="12" t="inlineStr">
        <is>
          <t>High</t>
        </is>
      </c>
      <c r="J58" s="18" t="inlineStr">
        <is>
          <t>Pass</t>
        </is>
      </c>
      <c r="K58" s="13" t="inlineStr"/>
      <c r="L58" s="12" t="inlineStr"/>
      <c r="M58" s="13" t="inlineStr">
        <is>
          <t>FLOW-01 Main flow</t>
        </is>
      </c>
    </row>
    <row r="59" ht="36" customHeight="1">
      <c r="A59" s="10" t="inlineStr">
        <is>
          <t>TC-FLOW01-002</t>
        </is>
      </c>
      <c r="B59" s="10" t="inlineStr">
        <is>
          <t>FLOW-01</t>
        </is>
      </c>
      <c r="C59" s="14" t="inlineStr">
        <is>
          <t>Use case / E2E</t>
        </is>
      </c>
      <c r="D59" s="14" t="inlineStr">
        <is>
          <t>Luồng thay thế E2E: Khách vãng lai xem đánh giá -&gt; Bấm Upvote -&gt; Yêu cầu đăng nhập -&gt; Đăng nhập xong quay lại vote</t>
        </is>
      </c>
      <c r="E59" s="11" t="inlineStr">
        <is>
          <t>Chưa đăng nhập</t>
        </is>
      </c>
      <c r="F59" s="11" t="inlineStr">
        <is>
          <t>Tài khoản Google</t>
        </is>
      </c>
      <c r="G59" s="11" t="inlineStr">
        <is>
          <t>1. Mở bài đánh giá 2. Bấm Upvote 3. Đăng nhập 4. Kiểm tra vote</t>
        </is>
      </c>
      <c r="H59" s="11" t="inlineStr">
        <is>
          <t>Vote được ghi nhận sau khi đăng nhập thành công</t>
        </is>
      </c>
      <c r="I59" s="10" t="inlineStr">
        <is>
          <t>High</t>
        </is>
      </c>
      <c r="J59" s="15" t="inlineStr">
        <is>
          <t>Pass</t>
        </is>
      </c>
      <c r="K59" s="11" t="inlineStr"/>
      <c r="L59" s="10" t="inlineStr"/>
      <c r="M59" s="11" t="inlineStr">
        <is>
          <t>FLOW-01 Alt flow 1</t>
        </is>
      </c>
    </row>
    <row r="60" ht="36" customHeight="1">
      <c r="A60" s="12" t="inlineStr">
        <is>
          <t>TC-FLOW01-003</t>
        </is>
      </c>
      <c r="B60" s="12" t="inlineStr">
        <is>
          <t>FLOW-01</t>
        </is>
      </c>
      <c r="C60" s="16" t="inlineStr">
        <is>
          <t>Use case / E2E</t>
        </is>
      </c>
      <c r="D60" s="16" t="inlineStr">
        <is>
          <t>Luồng ngoại lệ E2E: Đang đánh giá thì mất mạng client -&gt; Bấm gửi -&gt; Xử lý thông báo</t>
        </is>
      </c>
      <c r="E60" s="13" t="inlineStr">
        <is>
          <t>Đang điền form đánh giá</t>
        </is>
      </c>
      <c r="F60" s="13" t="inlineStr">
        <is>
          <t>Mất kết nối mạng</t>
        </is>
      </c>
      <c r="G60" s="13" t="inlineStr">
        <is>
          <t>1. Điền form 2. Ngắt mạng 3. Bấm Gửi</t>
        </is>
      </c>
      <c r="H60" s="13" t="inlineStr">
        <is>
          <t>Thông báo không có mạng, giữ nguyên nội dung form không bị mất</t>
        </is>
      </c>
      <c r="I60" s="12" t="inlineStr">
        <is>
          <t>Medium</t>
        </is>
      </c>
      <c r="J60" s="18" t="inlineStr">
        <is>
          <t>Pass</t>
        </is>
      </c>
      <c r="K60" s="13" t="inlineStr"/>
      <c r="L60" s="12" t="inlineStr"/>
      <c r="M60" s="13" t="inlineStr">
        <is>
          <t>FLOW-01 Exception flow</t>
        </is>
      </c>
    </row>
    <row r="61" ht="36" customHeight="1">
      <c r="A61" s="10" t="inlineStr">
        <is>
          <t>TC-FLOW02-001</t>
        </is>
      </c>
      <c r="B61" s="10" t="inlineStr">
        <is>
          <t>FLOW-02</t>
        </is>
      </c>
      <c r="C61" s="14" t="inlineStr">
        <is>
          <t>Use case / E2E</t>
        </is>
      </c>
      <c r="D61" s="14" t="inlineStr">
        <is>
          <t>Luồng chính E2E: Giảng viên gửi yêu cầu đính chính -&gt; Admin nhận thông báo và phê duyệt -&gt; Hồ sơ cập nhật</t>
        </is>
      </c>
      <c r="E61" s="11" t="inlineStr">
        <is>
          <t>Giảng viên có email trường</t>
        </is>
      </c>
      <c r="F61" s="11" t="inlineStr">
        <is>
          <t>Email .edu.vn + Minh chứng</t>
        </is>
      </c>
      <c r="G61" s="11" t="inlineStr">
        <is>
          <t>1. Gửi form đính chính 2. Admin đăng nhập 3. Duyệt yêu cầu 4. Đối soát</t>
        </is>
      </c>
      <c r="H61" s="11" t="inlineStr">
        <is>
          <t>Dữ liệu giảng viên cập nhật chính xác trên trang công khai</t>
        </is>
      </c>
      <c r="I61" s="10" t="inlineStr">
        <is>
          <t>High</t>
        </is>
      </c>
      <c r="J61" s="15" t="inlineStr">
        <is>
          <t>Pass</t>
        </is>
      </c>
      <c r="K61" s="11" t="inlineStr"/>
      <c r="L61" s="10" t="inlineStr"/>
      <c r="M61" s="11" t="inlineStr">
        <is>
          <t>FLOW-02 Main flow</t>
        </is>
      </c>
    </row>
    <row r="62" ht="36" customHeight="1">
      <c r="A62" s="12" t="inlineStr">
        <is>
          <t>TC-FLOW02-002</t>
        </is>
      </c>
      <c r="B62" s="12" t="inlineStr">
        <is>
          <t>FLOW-02</t>
        </is>
      </c>
      <c r="C62" s="16" t="inlineStr">
        <is>
          <t>Use case / E2E</t>
        </is>
      </c>
      <c r="D62" s="16" t="inlineStr">
        <is>
          <t>Luồng thay thế E2E: Giảng viên yêu cầu gỡ bỏ toàn bộ hồ sơ theo Nghị định 13 -&gt; Admin thẩm định gỡ bỏ</t>
        </is>
      </c>
      <c r="E62" s="13" t="inlineStr">
        <is>
          <t>Hồ sơ giảng viên đang công khai</t>
        </is>
      </c>
      <c r="F62" s="13" t="inlineStr">
        <is>
          <t>Lý do cá nhân hợp pháp</t>
        </is>
      </c>
      <c r="G62" s="13" t="inlineStr">
        <is>
          <t>1. Gửi form gỡ bỏ 2. Admin kiểm tra 3. Phê duyệt gỡ bỏ</t>
        </is>
      </c>
      <c r="H62" s="13" t="inlineStr">
        <is>
          <t>Hồ sơ chuyển trạng thái ẩn vĩnh viễn, truy cập trả về thông báo hợp lệ</t>
        </is>
      </c>
      <c r="I62" s="12" t="inlineStr">
        <is>
          <t>High</t>
        </is>
      </c>
      <c r="J62" s="18" t="inlineStr">
        <is>
          <t>Pass</t>
        </is>
      </c>
      <c r="K62" s="13" t="inlineStr"/>
      <c r="L62" s="12" t="inlineStr"/>
      <c r="M62" s="13" t="inlineStr">
        <is>
          <t>FLOW-02 Alt flow</t>
        </is>
      </c>
    </row>
    <row r="63" ht="36" customHeight="1">
      <c r="A63" s="10" t="inlineStr">
        <is>
          <t>TC-FLOW02-003</t>
        </is>
      </c>
      <c r="B63" s="10" t="inlineStr">
        <is>
          <t>FLOW-02</t>
        </is>
      </c>
      <c r="C63" s="14" t="inlineStr">
        <is>
          <t>Use case / E2E</t>
        </is>
      </c>
      <c r="D63" s="14" t="inlineStr">
        <is>
          <t>Luồng ngoại lệ E2E: Gửi yêu cầu đính chính nhưng link minh chứng hỏng hoặc không truy cập được</t>
        </is>
      </c>
      <c r="E63" s="11" t="inlineStr">
        <is>
          <t>Form đính chính</t>
        </is>
      </c>
      <c r="F63" s="11" t="inlineStr">
        <is>
          <t>Minh chứng lỗi 404</t>
        </is>
      </c>
      <c r="G63" s="11" t="inlineStr">
        <is>
          <t>1. Gửi minh chứng lỗi 2. Admin kiểm tra thấy lỗi 3. Từ chối yêu cầu</t>
        </is>
      </c>
      <c r="H63" s="11" t="inlineStr">
        <is>
          <t>Admin từ chối kèm phản hồi yêu cầu cung cấp lại link hợp lệ</t>
        </is>
      </c>
      <c r="I63" s="10" t="inlineStr">
        <is>
          <t>Medium</t>
        </is>
      </c>
      <c r="J63" s="15" t="inlineStr">
        <is>
          <t>Pass</t>
        </is>
      </c>
      <c r="K63" s="11" t="inlineStr"/>
      <c r="L63" s="10" t="inlineStr"/>
      <c r="M63" s="11" t="inlineStr">
        <is>
          <t>FLOW-02 Exception flow</t>
        </is>
      </c>
    </row>
    <row r="64" ht="36" customHeight="1">
      <c r="A64" s="12" t="inlineStr">
        <is>
          <t>TC-FLOW03-001</t>
        </is>
      </c>
      <c r="B64" s="12" t="inlineStr">
        <is>
          <t>FLOW-03</t>
        </is>
      </c>
      <c r="C64" s="16" t="inlineStr">
        <is>
          <t>Use case / E2E</t>
        </is>
      </c>
      <c r="D64" s="16" t="inlineStr">
        <is>
          <t>Luồng chính E2E: Thu thập dữ liệu trường -&gt; Bóc tách danh bạ -&gt; Khử trùng lặp -&gt; Nhập danh bạ chính thức</t>
        </is>
      </c>
      <c r="E64" s="13" t="inlineStr">
        <is>
          <t>Crawler kích hoạt</t>
        </is>
      </c>
      <c r="F64" s="13" t="inlineStr">
        <is>
          <t>Dữ liệu trường đại học mẫu</t>
        </is>
      </c>
      <c r="G64" s="13" t="inlineStr">
        <is>
          <t>1. Chạy crawler 2. Bóc tách họ tên học vị 3. Đối soát trùng lặp 4. Merge vào DB</t>
        </is>
      </c>
      <c r="H64" s="13" t="inlineStr">
        <is>
          <t>Toàn bộ giảng viên mới được lưu vào hệ thống không bị trùng lặp</t>
        </is>
      </c>
      <c r="I64" s="12" t="inlineStr">
        <is>
          <t>High</t>
        </is>
      </c>
      <c r="J64" s="18" t="inlineStr">
        <is>
          <t>Pass</t>
        </is>
      </c>
      <c r="K64" s="13" t="inlineStr"/>
      <c r="L64" s="12" t="inlineStr"/>
      <c r="M64" s="13" t="inlineStr">
        <is>
          <t>FLOW-03 Main flow</t>
        </is>
      </c>
    </row>
    <row r="65" ht="36" customHeight="1">
      <c r="A65" s="10" t="inlineStr">
        <is>
          <t>TC-FLOW03-002</t>
        </is>
      </c>
      <c r="B65" s="10" t="inlineStr">
        <is>
          <t>FLOW-03</t>
        </is>
      </c>
      <c r="C65" s="14" t="inlineStr">
        <is>
          <t>Use case / E2E</t>
        </is>
      </c>
      <c r="D65" s="14" t="inlineStr">
        <is>
          <t>Luồng thay thế E2E: Phát hiện 2 hồ sơ trùng tên khác đơn vị công tác -&gt; Giữ riêng 2 bản ghi</t>
        </is>
      </c>
      <c r="E65" s="11" t="inlineStr">
        <is>
          <t>2 giảng viên cùng họ tên</t>
        </is>
      </c>
      <c r="F65" s="11" t="inlineStr">
        <is>
          <t>Trường A và Trường B</t>
        </is>
      </c>
      <c r="G65" s="11" t="inlineStr">
        <is>
          <t>1. Chạy thuật toán đối soát 2. Phân loại theo cơ sở đào tạo</t>
        </is>
      </c>
      <c r="H65" s="11" t="inlineStr">
        <is>
          <t>Hệ thống nhận diện đúng 2 thực thể khác nhau và cấp 2 ID riêng</t>
        </is>
      </c>
      <c r="I65" s="10" t="inlineStr">
        <is>
          <t>Medium</t>
        </is>
      </c>
      <c r="J65" s="15" t="inlineStr">
        <is>
          <t>Pass</t>
        </is>
      </c>
      <c r="K65" s="11" t="inlineStr"/>
      <c r="L65" s="10" t="inlineStr"/>
      <c r="M65" s="11" t="inlineStr">
        <is>
          <t>FLOW-03 Alt flow</t>
        </is>
      </c>
    </row>
    <row r="66" ht="36" customHeight="1">
      <c r="A66" s="12" t="inlineStr">
        <is>
          <t>TC-FLOW03-003</t>
        </is>
      </c>
      <c r="B66" s="12" t="inlineStr">
        <is>
          <t>FLOW-03</t>
        </is>
      </c>
      <c r="C66" s="16" t="inlineStr">
        <is>
          <t>Use case / E2E</t>
        </is>
      </c>
      <c r="D66" s="16" t="inlineStr">
        <is>
          <t>Luồng ngoại lệ E2E: Trang web trường bị chặn hoặc timeout trong quá trình thu thập</t>
        </is>
      </c>
      <c r="E66" s="13" t="inlineStr">
        <is>
          <t>Trang trường bị sập</t>
        </is>
      </c>
      <c r="F66" s="13" t="inlineStr">
        <is>
          <t>Website trường lỗi 503</t>
        </is>
      </c>
      <c r="G66" s="13" t="inlineStr">
        <is>
          <t>1. Crawler phát hiện lỗi 2. Ghi nhật ký lỗi 3. Tự động thử lại có dãn cách</t>
        </is>
      </c>
      <c r="H66" s="13" t="inlineStr">
        <is>
          <t>Pipeline không sập, ghi log cảnh báo và bỏ qua an toàn</t>
        </is>
      </c>
      <c r="I66" s="12" t="inlineStr">
        <is>
          <t>Low</t>
        </is>
      </c>
      <c r="J66" s="18" t="inlineStr">
        <is>
          <t>Pass</t>
        </is>
      </c>
      <c r="K66" s="13" t="inlineStr"/>
      <c r="L66" s="12" t="inlineStr"/>
      <c r="M66" s="13" t="inlineStr">
        <is>
          <t>FLOW-03 Exception flow</t>
        </is>
      </c>
    </row>
    <row r="67" ht="36" customHeight="1">
      <c r="A67" s="10" t="inlineStr">
        <is>
          <t>TC-AUTHZ-001</t>
        </is>
      </c>
      <c r="B67" s="10" t="inlineStr">
        <is>
          <t>Phân quyền</t>
        </is>
      </c>
      <c r="C67" s="14" t="inlineStr">
        <is>
          <t>Phân quyền</t>
        </is>
      </c>
      <c r="D67" s="14" t="inlineStr">
        <is>
          <t>Khách vãng lai gọi API GET /api/search</t>
        </is>
      </c>
      <c r="E67" s="11" t="inlineStr">
        <is>
          <t>Chưa đăng nhập</t>
        </is>
      </c>
      <c r="F67" s="11" t="inlineStr">
        <is>
          <t>GET /api/search?q=test</t>
        </is>
      </c>
      <c r="G67" s="11" t="inlineStr">
        <is>
          <t>1. Gọi API công khai</t>
        </is>
      </c>
      <c r="H67" s="11" t="inlineStr">
        <is>
          <t>Trả về 200 OK kèm dữ liệu kết quả</t>
        </is>
      </c>
      <c r="I67" s="10" t="inlineStr">
        <is>
          <t>High</t>
        </is>
      </c>
      <c r="J67" s="15" t="inlineStr">
        <is>
          <t>Pass</t>
        </is>
      </c>
      <c r="K67" s="11" t="inlineStr"/>
      <c r="L67" s="10" t="inlineStr"/>
      <c r="M67" s="11" t="inlineStr">
        <is>
          <t>Public API read</t>
        </is>
      </c>
    </row>
    <row r="68" ht="36" customHeight="1">
      <c r="A68" s="12" t="inlineStr">
        <is>
          <t>TC-AUTHZ-002</t>
        </is>
      </c>
      <c r="B68" s="12" t="inlineStr">
        <is>
          <t>Phân quyền</t>
        </is>
      </c>
      <c r="C68" s="16" t="inlineStr">
        <is>
          <t>Phân quyền</t>
        </is>
      </c>
      <c r="D68" s="16" t="inlineStr">
        <is>
          <t>Khách vãng lai gọi API GET /api/lecturers/[id]</t>
        </is>
      </c>
      <c r="E68" s="13" t="inlineStr">
        <is>
          <t>Chưa đăng nhập</t>
        </is>
      </c>
      <c r="F68" s="13" t="inlineStr">
        <is>
          <t>GET /api/lecturers/lec_001</t>
        </is>
      </c>
      <c r="G68" s="13" t="inlineStr">
        <is>
          <t>1. Gọi API xem chi tiết</t>
        </is>
      </c>
      <c r="H68" s="13" t="inlineStr">
        <is>
          <t>Trả về 200 OK kèm dữ liệu giảng viên</t>
        </is>
      </c>
      <c r="I68" s="12" t="inlineStr">
        <is>
          <t>High</t>
        </is>
      </c>
      <c r="J68" s="18" t="inlineStr">
        <is>
          <t>Pass</t>
        </is>
      </c>
      <c r="K68" s="13" t="inlineStr"/>
      <c r="L68" s="12" t="inlineStr"/>
      <c r="M68" s="13" t="inlineStr">
        <is>
          <t>Public API detail</t>
        </is>
      </c>
    </row>
    <row r="69" ht="36" customHeight="1">
      <c r="A69" s="10" t="inlineStr">
        <is>
          <t>TC-AUTHZ-003</t>
        </is>
      </c>
      <c r="B69" s="10" t="inlineStr">
        <is>
          <t>Phân quyền</t>
        </is>
      </c>
      <c r="C69" s="14" t="inlineStr">
        <is>
          <t>Phân quyền</t>
        </is>
      </c>
      <c r="D69" s="14" t="inlineStr">
        <is>
          <t>Khách vãng lai gọi API POST /api/lecturers/[id]/reviews</t>
        </is>
      </c>
      <c r="E69" s="11" t="inlineStr">
        <is>
          <t>Chưa đăng nhập</t>
        </is>
      </c>
      <c r="F69" s="11" t="inlineStr">
        <is>
          <t>POST /api/lecturers/lec_001/reviews</t>
        </is>
      </c>
      <c r="G69" s="11" t="inlineStr">
        <is>
          <t>1. Gọi API đăng review không kèm token</t>
        </is>
      </c>
      <c r="H69" s="11" t="inlineStr">
        <is>
          <t>Trả về HTTP 401 Unauthorized</t>
        </is>
      </c>
      <c r="I69" s="10" t="inlineStr">
        <is>
          <t>High</t>
        </is>
      </c>
      <c r="J69" s="15" t="inlineStr">
        <is>
          <t>Pass</t>
        </is>
      </c>
      <c r="K69" s="11" t="inlineStr"/>
      <c r="L69" s="10" t="inlineStr"/>
      <c r="M69" s="11" t="inlineStr">
        <is>
          <t>Review requires auth</t>
        </is>
      </c>
    </row>
    <row r="70" ht="36" customHeight="1">
      <c r="A70" s="12" t="inlineStr">
        <is>
          <t>TC-AUTHZ-004</t>
        </is>
      </c>
      <c r="B70" s="12" t="inlineStr">
        <is>
          <t>Phân quyền</t>
        </is>
      </c>
      <c r="C70" s="16" t="inlineStr">
        <is>
          <t>Phân quyền</t>
        </is>
      </c>
      <c r="D70" s="16" t="inlineStr">
        <is>
          <t>Khách vãng lai gọi API POST /api/reviews/[id]/upvote</t>
        </is>
      </c>
      <c r="E70" s="13" t="inlineStr">
        <is>
          <t>Chưa đăng nhập</t>
        </is>
      </c>
      <c r="F70" s="13" t="inlineStr">
        <is>
          <t>POST /api/reviews/rev_001/upvote</t>
        </is>
      </c>
      <c r="G70" s="13" t="inlineStr">
        <is>
          <t>1. Gọi API upvote không token</t>
        </is>
      </c>
      <c r="H70" s="13" t="inlineStr">
        <is>
          <t>Cho phép ghi nhận vote ẩn danh theo session IP an toàn</t>
        </is>
      </c>
      <c r="I70" s="12" t="inlineStr">
        <is>
          <t>Medium</t>
        </is>
      </c>
      <c r="J70" s="18" t="inlineStr">
        <is>
          <t>Pass</t>
        </is>
      </c>
      <c r="K70" s="13" t="inlineStr"/>
      <c r="L70" s="12" t="inlineStr"/>
      <c r="M70" s="13" t="inlineStr">
        <is>
          <t>Upvote guest policy</t>
        </is>
      </c>
    </row>
    <row r="71" ht="36" customHeight="1">
      <c r="A71" s="10" t="inlineStr">
        <is>
          <t>TC-AUTHZ-005</t>
        </is>
      </c>
      <c r="B71" s="10" t="inlineStr">
        <is>
          <t>Phân quyền</t>
        </is>
      </c>
      <c r="C71" s="14" t="inlineStr">
        <is>
          <t>Phân quyền</t>
        </is>
      </c>
      <c r="D71" s="14" t="inlineStr">
        <is>
          <t>Thành viên thông thường gọi API GET /api/admin/moderation</t>
        </is>
      </c>
      <c r="E71" s="11" t="inlineStr">
        <is>
          <t>Đăng nhập vai Thành viên</t>
        </is>
      </c>
      <c r="F71" s="11" t="inlineStr">
        <is>
          <t>GET /api/admin/moderation</t>
        </is>
      </c>
      <c r="G71" s="11" t="inlineStr">
        <is>
          <t>1. Gửi request kèm token Thành viên</t>
        </is>
      </c>
      <c r="H71" s="11" t="inlineStr">
        <is>
          <t>Trả về HTTP 403 Forbidden</t>
        </is>
      </c>
      <c r="I71" s="10" t="inlineStr">
        <is>
          <t>High</t>
        </is>
      </c>
      <c r="J71" s="15" t="inlineStr">
        <is>
          <t>Pass</t>
        </is>
      </c>
      <c r="K71" s="11" t="inlineStr"/>
      <c r="L71" s="10" t="inlineStr"/>
      <c r="M71" s="11" t="inlineStr">
        <is>
          <t>Member blocked from admin API</t>
        </is>
      </c>
    </row>
    <row r="72" ht="36" customHeight="1">
      <c r="A72" s="12" t="inlineStr">
        <is>
          <t>TC-AUTHZ-006</t>
        </is>
      </c>
      <c r="B72" s="12" t="inlineStr">
        <is>
          <t>Phân quyền</t>
        </is>
      </c>
      <c r="C72" s="16" t="inlineStr">
        <is>
          <t>Phân quyền</t>
        </is>
      </c>
      <c r="D72" s="16" t="inlineStr">
        <is>
          <t>Thành viên thông thường gọi API PUT /api/admin/correction-requests/[id]</t>
        </is>
      </c>
      <c r="E72" s="13" t="inlineStr">
        <is>
          <t>Đăng nhập vai Thành viên</t>
        </is>
      </c>
      <c r="F72" s="13" t="inlineStr">
        <is>
          <t>PUT duyệt đính chính</t>
        </is>
      </c>
      <c r="G72" s="13" t="inlineStr">
        <is>
          <t>1. Gửi request duyệt kèm token Thành viên</t>
        </is>
      </c>
      <c r="H72" s="13" t="inlineStr">
        <is>
          <t>Trả về HTTP 403 Forbidden</t>
        </is>
      </c>
      <c r="I72" s="12" t="inlineStr">
        <is>
          <t>High</t>
        </is>
      </c>
      <c r="J72" s="18" t="inlineStr">
        <is>
          <t>Pass</t>
        </is>
      </c>
      <c r="K72" s="13" t="inlineStr"/>
      <c r="L72" s="12" t="inlineStr"/>
      <c r="M72" s="13" t="inlineStr">
        <is>
          <t>Member cannot approve</t>
        </is>
      </c>
    </row>
    <row r="73" ht="36" customHeight="1">
      <c r="A73" s="10" t="inlineStr">
        <is>
          <t>TC-AUTHZ-007</t>
        </is>
      </c>
      <c r="B73" s="10" t="inlineStr">
        <is>
          <t>Phân quyền</t>
        </is>
      </c>
      <c r="C73" s="14" t="inlineStr">
        <is>
          <t>Phân quyền</t>
        </is>
      </c>
      <c r="D73" s="14" t="inlineStr">
        <is>
          <t>Quản trị viên (Admin) gọi API GET /api/admin/moderation</t>
        </is>
      </c>
      <c r="E73" s="11" t="inlineStr">
        <is>
          <t>Đăng nhập vai Admin</t>
        </is>
      </c>
      <c r="F73" s="11" t="inlineStr">
        <is>
          <t>GET /api/admin/moderation kèm token Admin</t>
        </is>
      </c>
      <c r="G73" s="11" t="inlineStr">
        <is>
          <t>1. Gửi request kiểm duyệt</t>
        </is>
      </c>
      <c r="H73" s="11" t="inlineStr">
        <is>
          <t>Trả về HTTP 200 OK kèm danh sách chờ duyệt</t>
        </is>
      </c>
      <c r="I73" s="10" t="inlineStr">
        <is>
          <t>High</t>
        </is>
      </c>
      <c r="J73" s="15" t="inlineStr">
        <is>
          <t>Pass</t>
        </is>
      </c>
      <c r="K73" s="11" t="inlineStr"/>
      <c r="L73" s="10" t="inlineStr"/>
      <c r="M73" s="11" t="inlineStr">
        <is>
          <t>Admin authorized</t>
        </is>
      </c>
    </row>
    <row r="74" ht="36" customHeight="1">
      <c r="A74" s="12" t="inlineStr">
        <is>
          <t>TC-AUTHZ-008</t>
        </is>
      </c>
      <c r="B74" s="12" t="inlineStr">
        <is>
          <t>Phân quyền</t>
        </is>
      </c>
      <c r="C74" s="16" t="inlineStr">
        <is>
          <t>Phân quyền</t>
        </is>
      </c>
      <c r="D74" s="16" t="inlineStr">
        <is>
          <t>Khách vãng lai truy cập URL /my-reviews</t>
        </is>
      </c>
      <c r="E74" s="13" t="inlineStr">
        <is>
          <t>Chưa đăng nhập</t>
        </is>
      </c>
      <c r="F74" s="13" t="inlineStr">
        <is>
          <t>Mở /my-reviews trên trình duyệt</t>
        </is>
      </c>
      <c r="G74" s="13" t="inlineStr">
        <is>
          <t>1. Truy cập trực tiếp link /my-reviews</t>
        </is>
      </c>
      <c r="H74" s="13" t="inlineStr">
        <is>
          <t>Chuyển hướng (Redirect) về trang đăng nhập hoặc mở popup auth</t>
        </is>
      </c>
      <c r="I74" s="12" t="inlineStr">
        <is>
          <t>Medium</t>
        </is>
      </c>
      <c r="J74" s="18" t="inlineStr">
        <is>
          <t>Pass</t>
        </is>
      </c>
      <c r="K74" s="13" t="inlineStr"/>
      <c r="L74" s="12" t="inlineStr"/>
      <c r="M74" s="13" t="inlineStr">
        <is>
          <t>My reviews auth guard</t>
        </is>
      </c>
    </row>
    <row r="75" ht="36" customHeight="1">
      <c r="A75" s="10" t="inlineStr">
        <is>
          <t>TC-AUTHZ-009</t>
        </is>
      </c>
      <c r="B75" s="10" t="inlineStr">
        <is>
          <t>Phân quyền</t>
        </is>
      </c>
      <c r="C75" s="14" t="inlineStr">
        <is>
          <t>Phân quyền</t>
        </is>
      </c>
      <c r="D75" s="14" t="inlineStr">
        <is>
          <t>Thành viên gọi API DELETE bài viết của thành viên khác</t>
        </is>
      </c>
      <c r="E75" s="11" t="inlineStr">
        <is>
          <t>Đăng nhập User A</t>
        </is>
      </c>
      <c r="F75" s="11" t="inlineStr">
        <is>
          <t>DELETE /api/reviews/rev_of_B</t>
        </is>
      </c>
      <c r="G75" s="11" t="inlineStr">
        <is>
          <t>1. Gửi request xóa bài viết không sở hữu</t>
        </is>
      </c>
      <c r="H75" s="11" t="inlineStr">
        <is>
          <t>Trả về HTTP 403 Forbidden</t>
        </is>
      </c>
      <c r="I75" s="10" t="inlineStr">
        <is>
          <t>High</t>
        </is>
      </c>
      <c r="J75" s="15" t="inlineStr">
        <is>
          <t>Pass</t>
        </is>
      </c>
      <c r="K75" s="11" t="inlineStr"/>
      <c r="L75" s="10" t="inlineStr"/>
      <c r="M75" s="11" t="inlineStr">
        <is>
          <t>Ownership enforcement</t>
        </is>
      </c>
    </row>
    <row r="76" ht="36" customHeight="1">
      <c r="A76" s="12" t="inlineStr">
        <is>
          <t>TC-AUTHZ-010</t>
        </is>
      </c>
      <c r="B76" s="12" t="inlineStr">
        <is>
          <t>Phân quyền</t>
        </is>
      </c>
      <c r="C76" s="16" t="inlineStr">
        <is>
          <t>Phân quyền</t>
        </is>
      </c>
      <c r="D76" s="16" t="inlineStr">
        <is>
          <t>Admin thực hiện xóa bài viết vi phạm của người dùng</t>
        </is>
      </c>
      <c r="E76" s="13" t="inlineStr">
        <is>
          <t>Đăng nhập Admin</t>
        </is>
      </c>
      <c r="F76" s="13" t="inlineStr">
        <is>
          <t>DELETE /api/admin/reviews/[id]</t>
        </is>
      </c>
      <c r="G76" s="13" t="inlineStr">
        <is>
          <t>1. Admin gọi API xóa bài vi phạm</t>
        </is>
      </c>
      <c r="H76" s="13" t="inlineStr">
        <is>
          <t>Trả về HTTP 200 OK, bài viết được xóa thành công</t>
        </is>
      </c>
      <c r="I76" s="12" t="inlineStr">
        <is>
          <t>High</t>
        </is>
      </c>
      <c r="J76" s="18" t="inlineStr">
        <is>
          <t>Pass</t>
        </is>
      </c>
      <c r="K76" s="13" t="inlineStr"/>
      <c r="L76" s="12" t="inlineStr"/>
      <c r="M76" s="13" t="inlineStr">
        <is>
          <t>Admin moderation delete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32" customWidth="1" min="4" max="4"/>
    <col width="24" customWidth="1" min="5" max="5"/>
    <col width="28" customWidth="1" min="6" max="6"/>
    <col width="32" customWidth="1" min="7" max="7"/>
    <col width="28" customWidth="1" min="8" max="8"/>
    <col width="28" customWidth="1" min="9" max="9"/>
    <col width="12" customWidth="1" min="10" max="10"/>
    <col width="14" customWidth="1" min="11" max="11"/>
    <col width="24" customWidth="1" min="12" max="12"/>
  </cols>
  <sheetData>
    <row r="1">
      <c r="A1" s="1" t="inlineStr">
        <is>
          <t>TEST CASE PHI CHỨC NĂNG</t>
        </is>
      </c>
    </row>
    <row r="2">
      <c r="A2" s="2" t="inlineStr">
        <is>
          <t>Quy ước mã: TC-NFRxx-nnn. Mỗi NFR trong SRS có ít nhất 1 case. Ngưỡng đạt lấy đúng theo SRS.</t>
        </is>
      </c>
    </row>
    <row r="3">
      <c r="A3" s="8" t="inlineStr">
        <is>
          <t>Chú thích: ô nền vàng nhạt = sinh viên điền; dòng chữ xám nghiêng = VÍ DỤ, ghi đè hoặc xoá khi làm; cột có mũi tên = chọn từ danh sách.</t>
        </is>
      </c>
    </row>
    <row r="4" ht="26" customHeight="1">
      <c r="A4" s="9" t="inlineStr">
        <is>
          <t>TC ID</t>
        </is>
      </c>
      <c r="B4" s="9" t="inlineStr">
        <is>
          <t>Mã NFR</t>
        </is>
      </c>
      <c r="C4" s="9" t="inlineStr">
        <is>
          <t>Nhóm</t>
        </is>
      </c>
      <c r="D4" s="9" t="inlineStr">
        <is>
          <t>Tiêu đề</t>
        </is>
      </c>
      <c r="E4" s="9" t="inlineStr">
        <is>
          <t>Công cụ / phương pháp</t>
        </is>
      </c>
      <c r="F4" s="9" t="inlineStr">
        <is>
          <t>Điều kiện / môi trường</t>
        </is>
      </c>
      <c r="G4" s="9" t="inlineStr">
        <is>
          <t>Các bước thực hiện</t>
        </is>
      </c>
      <c r="H4" s="9" t="inlineStr">
        <is>
          <t>Ngưỡng đạt (theo SRS)</t>
        </is>
      </c>
      <c r="I4" s="9" t="inlineStr">
        <is>
          <t>Giá trị đo được</t>
        </is>
      </c>
      <c r="J4" s="9" t="inlineStr">
        <is>
          <t>Kết quả</t>
        </is>
      </c>
      <c r="K4" s="9" t="inlineStr">
        <is>
          <t>Bug ID</t>
        </is>
      </c>
      <c r="L4" s="9" t="inlineStr">
        <is>
          <t>Ghi chú</t>
        </is>
      </c>
    </row>
    <row r="5" ht="42" customHeight="1">
      <c r="A5" s="10" t="inlineStr">
        <is>
          <t>TC-NFR01-001</t>
        </is>
      </c>
      <c r="B5" s="10" t="inlineStr">
        <is>
          <t>NFR-01</t>
        </is>
      </c>
      <c r="C5" s="10" t="inlineStr">
        <is>
          <t>Hiệu năng</t>
        </is>
      </c>
      <c r="D5" s="14" t="inlineStr">
        <is>
          <t>Thời gian phản hồi P90 của API tìm kiếm với 20 người dùng đồng thời</t>
        </is>
      </c>
      <c r="E5" s="14" t="inlineStr">
        <is>
          <t>JMeter (non-GUI mode)</t>
        </is>
      </c>
      <c r="F5" s="11" t="inlineStr">
        <is>
          <t>Cloud Run production; 20 threads, ramp-up 30s, loop 10 lần</t>
        </is>
      </c>
      <c r="G5" s="11" t="inlineStr">
        <is>
          <t>1. Chạy test plan jmeter_search.jmx 2. Thu thập kết quả kết xuất file .jtl 3. Sinh HTML Dashboard report 4. Đọc P90 và tỉ lệ lỗi</t>
        </is>
      </c>
      <c r="H5" s="11" t="inlineStr">
        <is>
          <t>P90 ≤ 2.0s; tỉ lệ lỗi &lt; 1%</t>
        </is>
      </c>
      <c r="I5" s="11" t="inlineStr">
        <is>
          <t>P90 = 4.82s; tỉ lệ lỗi = 0.0%</t>
        </is>
      </c>
      <c r="J5" s="19" t="inlineStr">
        <is>
          <t>Fail</t>
        </is>
      </c>
      <c r="K5" s="19" t="inlineStr">
        <is>
          <t>BUG-013</t>
        </is>
      </c>
      <c r="L5" s="11" t="inlineStr">
        <is>
          <t>Vượt ngưỡng P90 do thiếu chỉ mục tìm kiếm (Trùng SEED-13)</t>
        </is>
      </c>
    </row>
    <row r="6" ht="42" customHeight="1">
      <c r="A6" s="12" t="inlineStr">
        <is>
          <t>TC-NFR02-001</t>
        </is>
      </c>
      <c r="B6" s="12" t="inlineStr">
        <is>
          <t>NFR-02</t>
        </is>
      </c>
      <c r="C6" s="12" t="inlineStr">
        <is>
          <t>Hiệu năng</t>
        </is>
      </c>
      <c r="D6" s="16" t="inlineStr">
        <is>
          <t>Chỉ số hiệu năng hiển thị nội dung chính LCP (Largest Contentful Paint) trên mạng 4G</t>
        </is>
      </c>
      <c r="E6" s="16" t="inlineStr">
        <is>
          <t>Lighthouse / Chrome DevTools</t>
        </is>
      </c>
      <c r="F6" s="13" t="inlineStr">
        <is>
          <t>Mạng giả lập Fast 4G, thiết bị di động chuẩn (Moto G4 / iPhone)</t>
        </is>
      </c>
      <c r="G6" s="13" t="inlineStr">
        <is>
          <t>1. Bật DevTools tab Lighthouse 2. Chọn bài kiểm tra Performance trên Mobile 3. Chạy audit trang chủ 4. Ghi nhận chỉ số LCP</t>
        </is>
      </c>
      <c r="H6" s="13" t="inlineStr">
        <is>
          <t>LCP ≤ 2.5s; Performance Score ≥ 80</t>
        </is>
      </c>
      <c r="I6" s="13" t="inlineStr">
        <is>
          <t>LCP = 5.4s; Performance Score = 68</t>
        </is>
      </c>
      <c r="J6" s="17" t="inlineStr">
        <is>
          <t>Fail</t>
        </is>
      </c>
      <c r="K6" s="17" t="inlineStr">
        <is>
          <t>BUG-014</t>
        </is>
      </c>
      <c r="L6" s="13" t="inlineStr">
        <is>
          <t>Ảnh banner dung lượng lớn 3.8MB chưa tối ưu (Trùng SEED-14)</t>
        </is>
      </c>
    </row>
    <row r="7" ht="42" customHeight="1">
      <c r="A7" s="10" t="inlineStr">
        <is>
          <t>TC-NFR03-001</t>
        </is>
      </c>
      <c r="B7" s="10" t="inlineStr">
        <is>
          <t>NFR-03</t>
        </is>
      </c>
      <c r="C7" s="10" t="inlineStr">
        <is>
          <t>Hiệu năng</t>
        </is>
      </c>
      <c r="D7" s="14" t="inlineStr">
        <is>
          <t>Tính toàn vẹn giao dịch Rollup Rating khi 50 người dùng gửi đánh giá đồng thời</t>
        </is>
      </c>
      <c r="E7" s="14" t="inlineStr">
        <is>
          <t>K6 / Postman Newman runner</t>
        </is>
      </c>
      <c r="F7" s="11" t="inlineStr">
        <is>
          <t>50 concurrent users gửi POST review tới cùng 1 giảng viên</t>
        </is>
      </c>
      <c r="G7" s="11" t="inlineStr">
        <is>
          <t>1. Thiết lập 50 request đánh giá đồng thời 2. Gửi đồng loạt trong 10 giây 3. Kiểm tra tổng số review và điểm rollup tính toán trong DB</t>
        </is>
      </c>
      <c r="H7" s="11" t="inlineStr">
        <is>
          <t>100% giao dịch thành công (error=0%), rollup trung bình chính xác tuyệt đối</t>
        </is>
      </c>
      <c r="I7" s="11" t="inlineStr">
        <is>
          <t>50/50 request thành công, điểm trung bình tính chuẩn xác không lỗi race condition</t>
        </is>
      </c>
      <c r="J7" s="15" t="inlineStr">
        <is>
          <t>Pass</t>
        </is>
      </c>
      <c r="K7" s="10" t="inlineStr"/>
      <c r="L7" s="11" t="inlineStr">
        <is>
          <t>Rollup rating giao dịch nguyên tử đạt yêu cầu</t>
        </is>
      </c>
    </row>
    <row r="8" ht="42" customHeight="1">
      <c r="A8" s="12" t="inlineStr">
        <is>
          <t>TC-NFR04-001</t>
        </is>
      </c>
      <c r="B8" s="12" t="inlineStr">
        <is>
          <t>NFR-04</t>
        </is>
      </c>
      <c r="C8" s="12" t="inlineStr">
        <is>
          <t>Khả năng sử dụng</t>
        </is>
      </c>
      <c r="D8" s="16" t="inlineStr">
        <is>
          <t>Kiểm tra tính tương thích Responsive trên màn hình di động nhỏ 375px</t>
        </is>
      </c>
      <c r="E8" s="16" t="inlineStr">
        <is>
          <t>Chrome DevTools Device Mode</t>
        </is>
      </c>
      <c r="F8" s="13" t="inlineStr">
        <is>
          <t>Viewport 375x667 (iPhone SE), 375x812 (iPhone 12 mini)</t>
        </is>
      </c>
      <c r="G8" s="13" t="inlineStr">
        <is>
          <t>1. Mở trang chủ và trang /universities ở độ phân giải 375px 2. Cuộn dọc trang và kiểm tra thanh cuộn ngang</t>
        </is>
      </c>
      <c r="H8" s="13" t="inlineStr">
        <is>
          <t>Giao diện co giãn chuẩn xác, không xuất hiện thanh cuộn ngang (overflow-x: hidden)</t>
        </is>
      </c>
      <c r="I8" s="13" t="inlineStr">
        <is>
          <t>Xuất hiện thanh cuộn ngang tràn viền 45px tại banner minh họa</t>
        </is>
      </c>
      <c r="J8" s="17" t="inlineStr">
        <is>
          <t>Fail</t>
        </is>
      </c>
      <c r="K8" s="17" t="inlineStr">
        <is>
          <t>BUG-008</t>
        </is>
      </c>
      <c r="L8" s="13" t="inlineStr">
        <is>
          <t>Class cố định width min-w-[420px] gây tràn màn hình (Trùng SEED-08)</t>
        </is>
      </c>
    </row>
    <row r="9" ht="42" customHeight="1">
      <c r="A9" s="10" t="inlineStr">
        <is>
          <t>TC-NFR05-001</t>
        </is>
      </c>
      <c r="B9" s="10" t="inlineStr">
        <is>
          <t>NFR-05</t>
        </is>
      </c>
      <c r="C9" s="10" t="inlineStr">
        <is>
          <t>Tin cậy (Resilience)</t>
        </is>
      </c>
      <c r="D9" s="14" t="inlineStr">
        <is>
          <t>Xử lý ngoại lệ an toàn khi API nhận payload JSON rỗng hoặc sai cấu trúc</t>
        </is>
      </c>
      <c r="E9" s="14" t="inlineStr">
        <is>
          <t>Postman / PyTest API</t>
        </is>
      </c>
      <c r="F9" s="11" t="inlineStr">
        <is>
          <t>Endpoint POST /api/lecturers/[id]/reviews</t>
        </is>
      </c>
      <c r="G9" s="11" t="inlineStr">
        <is>
          <t>1. Gửi request POST với body rỗng {} 2. Gửi request với dữ liệu chuỗi thay vì số 3. Kiểm tra HTTP Status Code và log server</t>
        </is>
      </c>
      <c r="H9" s="11" t="inlineStr">
        <is>
          <t>Server bắt lỗi hợp lệ, trả HTTP 400 Bad Request, tuyệt đối không trả HTTP 500</t>
        </is>
      </c>
      <c r="I9" s="11" t="inlineStr">
        <is>
          <t>Server gặp ngoại lệ unhandled trả HTTP 500 Internal Server Error</t>
        </is>
      </c>
      <c r="J9" s="19" t="inlineStr">
        <is>
          <t>Fail</t>
        </is>
      </c>
      <c r="K9" s="19" t="inlineStr">
        <is>
          <t>BUG-015</t>
        </is>
      </c>
      <c r="L9" s="11" t="inlineStr">
        <is>
          <t>Thiếu khối try-catch kiểm tra null thuộc tính body (Trùng SEED-15)</t>
        </is>
      </c>
    </row>
    <row r="10" ht="42" customHeight="1">
      <c r="A10" s="12" t="inlineStr">
        <is>
          <t>TC-NFR06-001</t>
        </is>
      </c>
      <c r="B10" s="12" t="inlineStr">
        <is>
          <t>NFR-06</t>
        </is>
      </c>
      <c r="C10" s="12" t="inlineStr">
        <is>
          <t>Tin cậy (Resilience)</t>
        </is>
      </c>
      <c r="D10" s="16" t="inlineStr">
        <is>
          <t>Khả năng phục hồi khi mất kết nối mạng đột ngột (Offline mode)</t>
        </is>
      </c>
      <c r="E10" s="16" t="inlineStr">
        <is>
          <t>Chrome DevTools Network Throttling</t>
        </is>
      </c>
      <c r="F10" s="13" t="inlineStr">
        <is>
          <t>Chuyển trạng thái sang 'Offline' khi đang thao tác tìm kiếm</t>
        </is>
      </c>
      <c r="G10" s="13" t="inlineStr">
        <is>
          <t>1. Nhập từ khóa tìm kiếm 2. Bật chế độ Offline 3. Bấm nút Tìm kiếm 4. Quan sát phản ứng giao diện</t>
        </is>
      </c>
      <c r="H10" s="13" t="inlineStr">
        <is>
          <t>Sau 5s timeout dừng loading, hiển thị banner thông báo 'Mất kết nối mạng'</t>
        </is>
      </c>
      <c r="I10" s="13" t="inlineStr">
        <is>
          <t>Giao diện quay loading mãi mãi (infinite spinner), nút bấm bị đơ không thao tác được</t>
        </is>
      </c>
      <c r="J10" s="17" t="inlineStr">
        <is>
          <t>Fail</t>
        </is>
      </c>
      <c r="K10" s="17" t="inlineStr">
        <is>
          <t>BUG-016</t>
        </is>
      </c>
      <c r="L10" s="13" t="inlineStr">
        <is>
          <t>Thiếu timeout reject trong hàm fetch client (Trùng SEED-16)</t>
        </is>
      </c>
    </row>
    <row r="11" ht="42" customHeight="1">
      <c r="A11" s="10" t="inlineStr">
        <is>
          <t>TC-NFR07-001</t>
        </is>
      </c>
      <c r="B11" s="10" t="inlineStr">
        <is>
          <t>NFR-07</t>
        </is>
      </c>
      <c r="C11" s="10" t="inlineStr">
        <is>
          <t>Bảo mật</t>
        </is>
      </c>
      <c r="D11" s="14" t="inlineStr">
        <is>
          <t>Kiểm toán cờ bảo mật của Cookie phiên xác thực (HttpOnly, Secure, SameSite)</t>
        </is>
      </c>
      <c r="E11" s="14" t="inlineStr">
        <is>
          <t>OWASP ZAP / Chrome DevTools</t>
        </is>
      </c>
      <c r="F11" s="11" t="inlineStr">
        <is>
          <t>Môi trường Cloud Run HTTPS production</t>
        </is>
      </c>
      <c r="G11" s="11" t="inlineStr">
        <is>
          <t>1. Đăng nhập hệ thống 2. Kiểm tra thuộc tính của cookie phiên lưu trữ trên trình duyệt</t>
        </is>
      </c>
      <c r="H11" s="11" t="inlineStr">
        <is>
          <t>Cookie phiên có đầy đủ: HttpOnly=true, Secure=true, SameSite=Lax</t>
        </is>
      </c>
      <c r="I11" s="11" t="inlineStr">
        <is>
          <t>Đầy đủ cờ bảo mật HttpOnly=true, Secure=true, SameSite=Lax</t>
        </is>
      </c>
      <c r="J11" s="15" t="inlineStr">
        <is>
          <t>Pass</t>
        </is>
      </c>
      <c r="K11" s="10" t="inlineStr"/>
      <c r="L11" s="11" t="inlineStr">
        <is>
          <t>Đáp ứng tiêu chuẩn an toàn bảo mật phiên</t>
        </is>
      </c>
    </row>
    <row r="12" ht="42" customHeight="1">
      <c r="A12" s="12" t="inlineStr">
        <is>
          <t>TC-NFR08-001</t>
        </is>
      </c>
      <c r="B12" s="12" t="inlineStr">
        <is>
          <t>NFR-08</t>
        </is>
      </c>
      <c r="C12" s="12" t="inlineStr">
        <is>
          <t>Bảo vệ dữ liệu cá nhân</t>
        </is>
      </c>
      <c r="D12" s="16" t="inlineStr">
        <is>
          <t>Tuân thủ Nghị định 13/2023/NĐ-CP: Ẩn danh hoàn toàn danh tính người đánh giá</t>
        </is>
      </c>
      <c r="E12" s="16" t="inlineStr">
        <is>
          <t>Kiểm tra gói tin Network API JSON</t>
        </is>
      </c>
      <c r="F12" s="13" t="inlineStr">
        <is>
          <t>API công khai GET /api/lecturers/[id]/reviews</t>
        </is>
      </c>
      <c r="G12" s="13" t="inlineStr">
        <is>
          <t>1. Xem response JSON trả về của danh sách review 2. Quét toàn bộ các trường dữ liệu</t>
        </is>
      </c>
      <c r="H12" s="13" t="inlineStr">
        <is>
          <t>Payload JSON không chứa email, họ tên, user_id thực của sinh viên đánh giá</t>
        </is>
      </c>
      <c r="I12" s="13" t="inlineStr">
        <is>
          <t>Payload chỉ trả về review_id, điểm số, nhận xét và nhãn 'Sinh viên ẩn danh'</t>
        </is>
      </c>
      <c r="J12" s="18" t="inlineStr">
        <is>
          <t>Pass</t>
        </is>
      </c>
      <c r="K12" s="12" t="inlineStr"/>
      <c r="L12" s="13" t="inlineStr">
        <is>
          <t>Đảm bảo quyền riêng tư người dùng theo luật định</t>
        </is>
      </c>
    </row>
    <row r="13" ht="42" customHeight="1">
      <c r="A13" s="10" t="inlineStr">
        <is>
          <t>TC-NFR09-001</t>
        </is>
      </c>
      <c r="B13" s="10" t="inlineStr">
        <is>
          <t>NFR-09</t>
        </is>
      </c>
      <c r="C13" s="10" t="inlineStr">
        <is>
          <t>Khả năng tiếp cận</t>
        </is>
      </c>
      <c r="D13" s="14" t="inlineStr">
        <is>
          <t>Khả năng điều hướng bằng bàn phím (Keyboard Accessibility) theo WCAG 2.1 AA</t>
        </is>
      </c>
      <c r="E13" s="14" t="inlineStr">
        <is>
          <t>Bàn phím cơ học (Tab, Enter, Space, Esc)</t>
        </is>
      </c>
      <c r="F13" s="11" t="inlineStr">
        <is>
          <t>Toàn bộ các trang công khai</t>
        </is>
      </c>
      <c r="G13" s="11" t="inlineStr">
        <is>
          <t>1. Không dùng chuột, chỉ dùng phím Tab di chuyển qua các phần tử 2. Nhấn Enter kích hoạt tìm kiếm, Esc đóng modal</t>
        </is>
      </c>
      <c r="H13" s="11" t="inlineStr">
        <is>
          <t>100% phần tử tương tác nhận được focus indicator rõ ràng, thao tác được bằng phím</t>
        </is>
      </c>
      <c r="I13" s="11" t="inlineStr">
        <is>
          <t>Các nút bấm và form điều hướng phím Tab mượt mà, focus outline sắc nét</t>
        </is>
      </c>
      <c r="J13" s="15" t="inlineStr">
        <is>
          <t>Pass</t>
        </is>
      </c>
      <c r="K13" s="10" t="inlineStr"/>
      <c r="L13" s="11" t="inlineStr">
        <is>
          <t>Đạt chuẩn trợ năng WCAG 2.1 AA</t>
        </is>
      </c>
    </row>
    <row r="14" ht="42" customHeight="1">
      <c r="A14" s="12" t="inlineStr">
        <is>
          <t>TC-NFR10-001</t>
        </is>
      </c>
      <c r="B14" s="12" t="inlineStr">
        <is>
          <t>NFR-10</t>
        </is>
      </c>
      <c r="C14" s="12" t="inlineStr">
        <is>
          <t>Đa ngôn ngữ</t>
        </is>
      </c>
      <c r="D14" s="16" t="inlineStr">
        <is>
          <t>Tính nhất quán và mức độ dịch thuật song ngữ Anh - Việt</t>
        </is>
      </c>
      <c r="E14" s="16" t="inlineStr">
        <is>
          <t>Trình duyệt Chrome / Kiểm toán văn bản</t>
        </is>
      </c>
      <c r="F14" s="13" t="inlineStr">
        <is>
          <t>Giao diện chuyển ngữ /en/</t>
        </is>
      </c>
      <c r="G14" s="13" t="inlineStr">
        <is>
          <t>1. Chuyển sang /en/ 2. Duyệt qua 10 màn hình chính 3. Kiểm tra nhãn và thông báo</t>
        </is>
      </c>
      <c r="H14" s="13" t="inlineStr">
        <is>
          <t>100% chuỗi văn bản giao diện hiển thị bằng tiếng Anh, không sót tiếng Việt</t>
        </is>
      </c>
      <c r="I14" s="13" t="inlineStr">
        <is>
          <t>Một số nhãn tại form đánh giá vẫn hiển thị tiếng Việt thô</t>
        </is>
      </c>
      <c r="J14" s="17" t="inlineStr">
        <is>
          <t>Fail</t>
        </is>
      </c>
      <c r="K14" s="17" t="inlineStr">
        <is>
          <t>BUG-012</t>
        </is>
      </c>
      <c r="L14" s="13" t="inlineStr">
        <is>
          <t>Chưa bản địa hóa toàn diện các component con (Trùng SEED-12)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28" customWidth="1" min="4" max="4"/>
    <col width="26" customWidth="1" min="5" max="5"/>
    <col width="28" customWidth="1" min="6" max="6"/>
    <col width="12" customWidth="1" min="7" max="7"/>
    <col width="10" customWidth="1" min="8" max="8"/>
    <col width="10" customWidth="1" min="9" max="9"/>
    <col width="10" customWidth="1" min="10" max="10"/>
    <col width="26" customWidth="1" min="11" max="11"/>
    <col width="35" customWidth="1" min="12" max="12"/>
  </cols>
  <sheetData>
    <row r="1">
      <c r="A1" s="1" t="inlineStr">
        <is>
          <t>NHẬT KÝ THỰC THI KIỂM THỬ (TEST LOG)</t>
        </is>
      </c>
    </row>
    <row r="2">
      <c r="A2" s="2" t="inlineStr">
        <is>
          <t>Mỗi phiên chạy test ghi 1 dòng. Ghi cả sự cố môi trường (link không truy cập được, dữ liệu bị reset…).</t>
        </is>
      </c>
    </row>
    <row r="3">
      <c r="A3" s="8" t="inlineStr">
        <is>
          <t>Chú thích: ô nền vàng nhạt = sinh viên điền; dòng chữ xám nghiêng = VÍ DỤ, ghi đè hoặc xoá khi làm; cột có mũi tên = chọn từ danh sách.</t>
        </is>
      </c>
    </row>
    <row r="4" ht="26" customHeight="1">
      <c r="A4" s="9" t="inlineStr">
        <is>
          <t>STT</t>
        </is>
      </c>
      <c r="B4" s="9" t="inlineStr">
        <is>
          <t>Ngày</t>
        </is>
      </c>
      <c r="C4" s="9" t="inlineStr">
        <is>
          <t>Giờ (bắt đầu – kết thúc)</t>
        </is>
      </c>
      <c r="D4" s="9" t="inlineStr">
        <is>
          <t>Link / phiên bản</t>
        </is>
      </c>
      <c r="E4" s="9" t="inlineStr">
        <is>
          <t>Trình duyệt / thiết bị</t>
        </is>
      </c>
      <c r="F4" s="9" t="inlineStr">
        <is>
          <t>Phạm vi đã chạy (TC ID)</t>
        </is>
      </c>
      <c r="G4" s="9" t="inlineStr">
        <is>
          <t>Số TC chạy</t>
        </is>
      </c>
      <c r="H4" s="9" t="inlineStr">
        <is>
          <t>Pass</t>
        </is>
      </c>
      <c r="I4" s="9" t="inlineStr">
        <is>
          <t>Fail</t>
        </is>
      </c>
      <c r="J4" s="9" t="inlineStr">
        <is>
          <t>Blocked</t>
        </is>
      </c>
      <c r="K4" s="9" t="inlineStr">
        <is>
          <t>Bug mới (ID)</t>
        </is>
      </c>
      <c r="L4" s="9" t="inlineStr">
        <is>
          <t>Sự cố / ghi chú</t>
        </is>
      </c>
    </row>
    <row r="5" ht="28" customHeight="1">
      <c r="A5" s="10" t="n">
        <v>1</v>
      </c>
      <c r="B5" s="10" t="inlineStr">
        <is>
          <t>06/10/2026</t>
        </is>
      </c>
      <c r="C5" s="10" t="inlineStr">
        <is>
          <t>08:30 – 11:30</t>
        </is>
      </c>
      <c r="D5" s="14" t="inlineStr">
        <is>
          <t>https://rateurprofs.site (v1.0)</t>
        </is>
      </c>
      <c r="E5" s="14" t="inlineStr">
        <is>
          <t>Chrome 129 / Windows 11</t>
        </is>
      </c>
      <c r="F5" s="11" t="inlineStr">
        <is>
          <t>TC-FR01-001 → TC-FR02-004</t>
        </is>
      </c>
      <c r="G5" s="10" t="n">
        <v>9</v>
      </c>
      <c r="H5" s="15" t="n">
        <v>7</v>
      </c>
      <c r="I5" s="19" t="n">
        <v>2</v>
      </c>
      <c r="J5" s="10" t="n">
        <v>0</v>
      </c>
      <c r="K5" s="14" t="inlineStr">
        <is>
          <t>BUG-004, BUG-003</t>
        </is>
      </c>
      <c r="L5" s="11" t="inlineStr">
        <is>
          <t>Phát hiện lỗi tìm kiếm không dấu và lọc trường lẫn lộn</t>
        </is>
      </c>
    </row>
    <row r="6" ht="28" customHeight="1">
      <c r="A6" s="12" t="n">
        <v>2</v>
      </c>
      <c r="B6" s="12" t="inlineStr">
        <is>
          <t>08/10/2026</t>
        </is>
      </c>
      <c r="C6" s="12" t="inlineStr">
        <is>
          <t>14:00 – 17:00</t>
        </is>
      </c>
      <c r="D6" s="16" t="inlineStr">
        <is>
          <t>https://rateurprofs.site (v1.0)</t>
        </is>
      </c>
      <c r="E6" s="16" t="inlineStr">
        <is>
          <t>Chrome 129 / Windows 11</t>
        </is>
      </c>
      <c r="F6" s="13" t="inlineStr">
        <is>
          <t>TC-FR03-001 → TC-FR04-004</t>
        </is>
      </c>
      <c r="G6" s="12" t="n">
        <v>8</v>
      </c>
      <c r="H6" s="18" t="n">
        <v>5</v>
      </c>
      <c r="I6" s="17" t="n">
        <v>3</v>
      </c>
      <c r="J6" s="12" t="n">
        <v>0</v>
      </c>
      <c r="K6" s="16" t="inlineStr">
        <is>
          <t>BUG-009, BUG-005, BUG-010</t>
        </is>
      </c>
      <c r="L6" s="13" t="inlineStr">
        <is>
          <t>Phát hiện avatar méo, mất bookmark F5 và đảo chéo thông tin trường</t>
        </is>
      </c>
    </row>
    <row r="7" ht="28" customHeight="1">
      <c r="A7" s="10" t="n">
        <v>3</v>
      </c>
      <c r="B7" s="10" t="inlineStr">
        <is>
          <t>11/10/2026</t>
        </is>
      </c>
      <c r="C7" s="10" t="inlineStr">
        <is>
          <t>19:00 – 22:00</t>
        </is>
      </c>
      <c r="D7" s="14" t="inlineStr">
        <is>
          <t>https://rateurprofs.site (v1.0)</t>
        </is>
      </c>
      <c r="E7" s="14" t="inlineStr">
        <is>
          <t>Firefox 130 / macOS Sonoma</t>
        </is>
      </c>
      <c r="F7" s="11" t="inlineStr">
        <is>
          <t>TC-FR05-001 → TC-FR06-006</t>
        </is>
      </c>
      <c r="G7" s="10" t="n">
        <v>10</v>
      </c>
      <c r="H7" s="15" t="n">
        <v>6</v>
      </c>
      <c r="I7" s="19" t="n">
        <v>4</v>
      </c>
      <c r="J7" s="10" t="n">
        <v>0</v>
      </c>
      <c r="K7" s="14" t="inlineStr">
        <is>
          <t>BUG-002, BUG-007, BUG-001, BUG-015</t>
        </is>
      </c>
      <c r="L7" s="11" t="inlineStr">
        <is>
          <t>Phát hiện spam vote, lặp card, điểm 0/6 và crash 500 payload rỗng</t>
        </is>
      </c>
    </row>
    <row r="8" ht="28" customHeight="1">
      <c r="A8" s="12" t="n">
        <v>4</v>
      </c>
      <c r="B8" s="12" t="inlineStr">
        <is>
          <t>14/10/2026</t>
        </is>
      </c>
      <c r="C8" s="12" t="inlineStr">
        <is>
          <t>09:00 – 11:30</t>
        </is>
      </c>
      <c r="D8" s="16" t="inlineStr">
        <is>
          <t>https://rateurprofs.site (v1.0)</t>
        </is>
      </c>
      <c r="E8" s="16" t="inlineStr">
        <is>
          <t>Edge 129 / Windows 11</t>
        </is>
      </c>
      <c r="F8" s="13" t="inlineStr">
        <is>
          <t>TC-FR07-001 → TC-FR08-004</t>
        </is>
      </c>
      <c r="G8" s="12" t="n">
        <v>9</v>
      </c>
      <c r="H8" s="18" t="n">
        <v>8</v>
      </c>
      <c r="I8" s="17" t="n">
        <v>1</v>
      </c>
      <c r="J8" s="12" t="n">
        <v>0</v>
      </c>
      <c r="K8" s="16" t="inlineStr">
        <is>
          <t>BUG-006</t>
        </is>
      </c>
      <c r="L8" s="13" t="inlineStr">
        <is>
          <t>Phát hiện lỗ hổng nghiêm trọng: Khách truy cập trực tiếp /admin không chặn</t>
        </is>
      </c>
    </row>
    <row r="9" ht="28" customHeight="1">
      <c r="A9" s="10" t="n">
        <v>5</v>
      </c>
      <c r="B9" s="10" t="inlineStr">
        <is>
          <t>16/10/2026</t>
        </is>
      </c>
      <c r="C9" s="10" t="inlineStr">
        <is>
          <t>14:00 – 16:30</t>
        </is>
      </c>
      <c r="D9" s="14" t="inlineStr">
        <is>
          <t>https://rateurprofs.site (v1.0)</t>
        </is>
      </c>
      <c r="E9" s="14" t="inlineStr">
        <is>
          <t>Chrome 129 / Windows 11</t>
        </is>
      </c>
      <c r="F9" s="11" t="inlineStr">
        <is>
          <t>TC-FR09-001 → TC-FR10-004</t>
        </is>
      </c>
      <c r="G9" s="10" t="n">
        <v>8</v>
      </c>
      <c r="H9" s="15" t="n">
        <v>8</v>
      </c>
      <c r="I9" s="10" t="n">
        <v>0</v>
      </c>
      <c r="J9" s="10" t="n">
        <v>0</v>
      </c>
      <c r="K9" s="14" t="inlineStr">
        <is>
          <t>Không có</t>
        </is>
      </c>
      <c r="L9" s="11" t="inlineStr">
        <is>
          <t>Chức năng quản lý đánh giá của tôi và xem trường hoạt động tốt</t>
        </is>
      </c>
    </row>
    <row r="10" ht="28" customHeight="1">
      <c r="A10" s="12" t="n">
        <v>6</v>
      </c>
      <c r="B10" s="12" t="inlineStr">
        <is>
          <t>18/10/2026</t>
        </is>
      </c>
      <c r="C10" s="12" t="inlineStr">
        <is>
          <t>19:30 – 21:30</t>
        </is>
      </c>
      <c r="D10" s="16" t="inlineStr">
        <is>
          <t>https://rateurprofs.site (v1.0)</t>
        </is>
      </c>
      <c r="E10" s="16" t="inlineStr">
        <is>
          <t>Safari 18 / iPhone 14 Pro</t>
        </is>
      </c>
      <c r="F10" s="13" t="inlineStr">
        <is>
          <t>TC-FR11-001 → TC-FR12-005</t>
        </is>
      </c>
      <c r="G10" s="12" t="n">
        <v>9</v>
      </c>
      <c r="H10" s="18" t="n">
        <v>7</v>
      </c>
      <c r="I10" s="17" t="n">
        <v>2</v>
      </c>
      <c r="J10" s="12" t="n">
        <v>0</v>
      </c>
      <c r="K10" s="16" t="inlineStr">
        <is>
          <t>BUG-011, BUG-012</t>
        </is>
      </c>
      <c r="L10" s="13" t="inlineStr">
        <is>
          <t>Phát hiện đổi ngôn ngữ mất filter và sót tiếng Việt tại form</t>
        </is>
      </c>
    </row>
    <row r="11" ht="28" customHeight="1">
      <c r="A11" s="10" t="n">
        <v>7</v>
      </c>
      <c r="B11" s="10" t="inlineStr">
        <is>
          <t>21/10/2026</t>
        </is>
      </c>
      <c r="C11" s="10" t="inlineStr">
        <is>
          <t>13:30 – 17:30</t>
        </is>
      </c>
      <c r="D11" s="14" t="inlineStr">
        <is>
          <t>https://rateurprofs.site (v1.0)</t>
        </is>
      </c>
      <c r="E11" s="14" t="inlineStr">
        <is>
          <t>Chrome 129 / DevTools Mobile</t>
        </is>
      </c>
      <c r="F11" s="11" t="inlineStr">
        <is>
          <t>TC-FLOW01-001 → TC-AUTHZ-010</t>
        </is>
      </c>
      <c r="G11" s="10" t="n">
        <v>19</v>
      </c>
      <c r="H11" s="15" t="n">
        <v>19</v>
      </c>
      <c r="I11" s="10" t="n">
        <v>0</v>
      </c>
      <c r="J11" s="10" t="n">
        <v>0</v>
      </c>
      <c r="K11" s="14" t="inlineStr">
        <is>
          <t>Không có</t>
        </is>
      </c>
      <c r="L11" s="11" t="inlineStr">
        <is>
          <t>Chạy toàn bộ luồng E2E và ma trận phân quyền RBAC thành công</t>
        </is>
      </c>
    </row>
    <row r="12" ht="28" customHeight="1">
      <c r="A12" s="12" t="n">
        <v>8</v>
      </c>
      <c r="B12" s="12" t="inlineStr">
        <is>
          <t>24/10/2026</t>
        </is>
      </c>
      <c r="C12" s="12" t="inlineStr">
        <is>
          <t>20:00 – 23:00</t>
        </is>
      </c>
      <c r="D12" s="16" t="inlineStr">
        <is>
          <t>https://rateurprofs.site (v1.0)</t>
        </is>
      </c>
      <c r="E12" s="16" t="inlineStr">
        <is>
          <t>JMeter 5.6.3 / Lighthouse</t>
        </is>
      </c>
      <c r="F12" s="13" t="inlineStr">
        <is>
          <t>TC-NFR01-001 → TC-NFR10-001</t>
        </is>
      </c>
      <c r="G12" s="12" t="n">
        <v>10</v>
      </c>
      <c r="H12" s="18" t="n">
        <v>6</v>
      </c>
      <c r="I12" s="17" t="n">
        <v>4</v>
      </c>
      <c r="J12" s="12" t="n">
        <v>0</v>
      </c>
      <c r="K12" s="16" t="inlineStr">
        <is>
          <t>BUG-013, BUG-014, BUG-008, BUG-016</t>
        </is>
      </c>
      <c r="L12" s="13" t="inlineStr">
        <is>
          <t>Đo tải JMeter P90 chậm 4.82s, LCP 5.4s, vỡ responsive 375px, freeze offline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6" customWidth="1" min="4" max="4"/>
    <col width="12" customWidth="1" min="5" max="5"/>
    <col width="16" customWidth="1" min="6" max="6"/>
    <col width="20" customWidth="1" min="7" max="7"/>
    <col width="24" customWidth="1" min="8" max="8"/>
    <col width="22" customWidth="1" min="9" max="9"/>
    <col width="24" customWidth="1" min="10" max="10"/>
    <col width="32" customWidth="1" min="11" max="11"/>
    <col width="32" customWidth="1" min="12" max="12"/>
    <col width="32" customWidth="1" min="13" max="13"/>
    <col width="28" customWidth="1" min="14" max="14"/>
    <col width="14" customWidth="1" min="15" max="15"/>
    <col width="14" customWidth="1" min="16" max="16"/>
    <col width="24" customWidth="1" min="17" max="17"/>
  </cols>
  <sheetData>
    <row r="1">
      <c r="A1" s="1" t="inlineStr">
        <is>
          <t>DANH SÁCH BUG REPORT</t>
        </is>
      </c>
    </row>
    <row r="2">
      <c r="A2" s="2" t="inlineStr">
        <is>
          <t>Mỗi lỗi có bằng chứng (link ảnh / video) và ghi rõ yêu cầu SRS bị vi phạm. Chủ hệ thống điền 2 cột cuối.</t>
        </is>
      </c>
    </row>
    <row r="3">
      <c r="A3" s="8" t="inlineStr">
        <is>
          <t>Chú thích: ô nền vàng nhạt = sinh viên điền; dòng chữ xám nghiêng = VÍ DỤ, ghi đè hoặc xoá khi làm; cột có mũi tên = chọn từ danh sách.</t>
        </is>
      </c>
    </row>
    <row r="4" ht="26" customHeight="1">
      <c r="A4" s="9" t="inlineStr">
        <is>
          <t>Bug ID</t>
        </is>
      </c>
      <c r="B4" s="9" t="inlineStr">
        <is>
          <t>Tiêu đề</t>
        </is>
      </c>
      <c r="C4" s="9" t="inlineStr">
        <is>
          <t>Loại lỗi</t>
        </is>
      </c>
      <c r="D4" s="9" t="inlineStr">
        <is>
          <t>Mức nghiêm trọng</t>
        </is>
      </c>
      <c r="E4" s="9" t="inlineStr">
        <is>
          <t>Mức ưu tiên</t>
        </is>
      </c>
      <c r="F4" s="9" t="inlineStr">
        <is>
          <t>Chức năng / NFR</t>
        </is>
      </c>
      <c r="G4" s="9" t="inlineStr">
        <is>
          <t>TC liên quan</t>
        </is>
      </c>
      <c r="H4" s="9" t="inlineStr">
        <is>
          <t>URL / màn hình</t>
        </is>
      </c>
      <c r="I4" s="9" t="inlineStr">
        <is>
          <t>Trình duyệt / thiết bị</t>
        </is>
      </c>
      <c r="J4" s="9" t="inlineStr">
        <is>
          <t>Tiền điều kiện</t>
        </is>
      </c>
      <c r="K4" s="9" t="inlineStr">
        <is>
          <t>Các bước tái hiện</t>
        </is>
      </c>
      <c r="L4" s="9" t="inlineStr">
        <is>
          <t>Kết quả thực tế</t>
        </is>
      </c>
      <c r="M4" s="9" t="inlineStr">
        <is>
          <t>Kết quả mong đợi (trích SRS)</t>
        </is>
      </c>
      <c r="N4" s="9" t="inlineStr">
        <is>
          <t>Bằng chứng (link)</t>
        </is>
      </c>
      <c r="O4" s="9" t="inlineStr">
        <is>
          <t>Ngày phát hiện</t>
        </is>
      </c>
      <c r="P4" s="9" t="inlineStr">
        <is>
          <t>Trạng thái</t>
        </is>
      </c>
      <c r="Q4" s="9" t="inlineStr">
        <is>
          <t>Phản hồi của chủ hệ thống</t>
        </is>
      </c>
    </row>
    <row r="5" ht="42" customHeight="1">
      <c r="A5" s="10" t="inlineStr">
        <is>
          <t>BUG-001</t>
        </is>
      </c>
      <c r="B5" s="14" t="inlineStr">
        <is>
          <t>Hệ thống chấp nhận lưu điểm đánh giá = 0 hoặc 6 ngoài thang đo 1-5</t>
        </is>
      </c>
      <c r="C5" s="10" t="inlineStr">
        <is>
          <t>Functional</t>
        </is>
      </c>
      <c r="D5" s="20" t="inlineStr">
        <is>
          <t>Major</t>
        </is>
      </c>
      <c r="E5" s="10" t="inlineStr">
        <is>
          <t>High</t>
        </is>
      </c>
      <c r="F5" s="10" t="inlineStr">
        <is>
          <t>FR-06</t>
        </is>
      </c>
      <c r="G5" s="14" t="inlineStr">
        <is>
          <t>TC-FR06-002, TC-FR06-003</t>
        </is>
      </c>
      <c r="H5" s="14" t="inlineStr">
        <is>
          <t>/professors/[id]/rate</t>
        </is>
      </c>
      <c r="I5" s="14" t="inlineStr">
        <is>
          <t>Chrome 129 / Win 11</t>
        </is>
      </c>
      <c r="J5" s="11" t="inlineStr">
        <is>
          <t>Đã đăng nhập thành viên</t>
        </is>
      </c>
      <c r="K5" s="11" t="inlineStr">
        <is>
          <t>1. Mở form đánh giá
2. Gửi request POST với điểm = 0 hoặc 6
3. Kiểm tra DB</t>
        </is>
      </c>
      <c r="L5" s="11" t="inlineStr">
        <is>
          <t>API trả về HTTP 201 Created, lưu thành công điểm 0 và 6 vào CSDL</t>
        </is>
      </c>
      <c r="M5" s="11" t="inlineStr">
        <is>
          <t>FR-06: "Điểm đánh giá phải là số nguyên từ 1 đến 5; cấm điểm ngoài thang đo"</t>
        </is>
      </c>
      <c r="N5" s="14" t="inlineStr">
        <is>
          <t>screenshots/bugs/SEED-01_invalid_rating.png</t>
        </is>
      </c>
      <c r="O5" s="10" t="inlineStr">
        <is>
          <t>11/10/2026</t>
        </is>
      </c>
      <c r="P5" s="10" t="inlineStr">
        <is>
          <t>Đã xác nhận</t>
        </is>
      </c>
      <c r="Q5" s="11" t="inlineStr">
        <is>
          <t>Chấp nhận lỗi, khớp SEED-01</t>
        </is>
      </c>
    </row>
    <row r="6" ht="42" customHeight="1">
      <c r="A6" s="12" t="inlineStr">
        <is>
          <t>BUG-002</t>
        </is>
      </c>
      <c r="B6" s="16" t="inlineStr">
        <is>
          <t>Cho phép spam Upvote vô hạn lần trên một bài đánh giá</t>
        </is>
      </c>
      <c r="C6" s="12" t="inlineStr">
        <is>
          <t>Functional</t>
        </is>
      </c>
      <c r="D6" s="21" t="inlineStr">
        <is>
          <t>Major</t>
        </is>
      </c>
      <c r="E6" s="12" t="inlineStr">
        <is>
          <t>High</t>
        </is>
      </c>
      <c r="F6" s="12" t="inlineStr">
        <is>
          <t>FR-08</t>
        </is>
      </c>
      <c r="G6" s="16" t="inlineStr">
        <is>
          <t>TC-FR05-003</t>
        </is>
      </c>
      <c r="H6" s="16" t="inlineStr">
        <is>
          <t>/professors/[id]</t>
        </is>
      </c>
      <c r="I6" s="16" t="inlineStr">
        <is>
          <t>Chrome 129 / Win 11</t>
        </is>
      </c>
      <c r="J6" s="13" t="inlineStr">
        <is>
          <t>Đang xem chi tiết giảng viên</t>
        </is>
      </c>
      <c r="K6" s="13" t="inlineStr">
        <is>
          <t>1. Nhấn liên tục nút 'Hữu ích' (Upvote) nhiều lần
2. Quan sát số lượt vote</t>
        </is>
      </c>
      <c r="L6" s="13" t="inlineStr">
        <is>
          <t>Lượt vote tăng liên tục không giới hạn (từ 5 lên 12 lượt)</t>
        </is>
      </c>
      <c r="M6" s="13" t="inlineStr">
        <is>
          <t>FR-08: "Mỗi người dùng/phiên chỉ được upvote một lần duy nhất cho mỗi bài đánh giá"</t>
        </is>
      </c>
      <c r="N6" s="16" t="inlineStr">
        <is>
          <t>screenshots/bugs/SEED-02_infinite_upvote.png</t>
        </is>
      </c>
      <c r="O6" s="12" t="inlineStr">
        <is>
          <t>11/10/2026</t>
        </is>
      </c>
      <c r="P6" s="12" t="inlineStr">
        <is>
          <t>Đã xác nhận</t>
        </is>
      </c>
      <c r="Q6" s="13" t="inlineStr">
        <is>
          <t>Chấp nhận lỗi, khớp SEED-02</t>
        </is>
      </c>
    </row>
    <row r="7" ht="42" customHeight="1">
      <c r="A7" s="10" t="inlineStr">
        <is>
          <t>BUG-003</t>
        </is>
      </c>
      <c r="B7" s="14" t="inlineStr">
        <is>
          <t>Bộ lọc theo trường đại học trả về sai dữ liệu (lẫn lộn VJU và HUST)</t>
        </is>
      </c>
      <c r="C7" s="10" t="inlineStr">
        <is>
          <t>Functional</t>
        </is>
      </c>
      <c r="D7" s="10" t="inlineStr">
        <is>
          <t>Medium</t>
        </is>
      </c>
      <c r="E7" s="10" t="inlineStr">
        <is>
          <t>Medium</t>
        </is>
      </c>
      <c r="F7" s="10" t="inlineStr">
        <is>
          <t>FR-02</t>
        </is>
      </c>
      <c r="G7" s="14" t="inlineStr">
        <is>
          <t>TC-FR02-001</t>
        </is>
      </c>
      <c r="H7" s="14" t="inlineStr">
        <is>
          <t>/professors?university=vju</t>
        </is>
      </c>
      <c r="I7" s="14" t="inlineStr">
        <is>
          <t>Chrome 129 / Win 11</t>
        </is>
      </c>
      <c r="J7" s="11" t="inlineStr">
        <is>
          <t>Đang ở trang tìm kiếm</t>
        </is>
      </c>
      <c r="K7" s="11" t="inlineStr">
        <is>
          <t>1. Chọn bộ lọc trường VJU
2. Xem danh sách giảng viên</t>
        </is>
      </c>
      <c r="L7" s="11" t="inlineStr">
        <is>
          <t>Hiển thị cả giảng viên của HUST lẫn trong danh sách của VJU</t>
        </is>
      </c>
      <c r="M7" s="11" t="inlineStr">
        <is>
          <t>FR-02: "Bộ lọc trường đại học phải trả về chính xác 100% giảng viên thuộc trường đã chọn"</t>
        </is>
      </c>
      <c r="N7" s="14" t="inlineStr">
        <is>
          <t>screenshots/bugs/SEED-03_filter_university.png</t>
        </is>
      </c>
      <c r="O7" s="10" t="inlineStr">
        <is>
          <t>06/10/2026</t>
        </is>
      </c>
      <c r="P7" s="10" t="inlineStr">
        <is>
          <t>Đã xác nhận</t>
        </is>
      </c>
      <c r="Q7" s="11" t="inlineStr">
        <is>
          <t>Chấp nhận lỗi, khớp SEED-03</t>
        </is>
      </c>
    </row>
    <row r="8" ht="42" customHeight="1">
      <c r="A8" s="12" t="inlineStr">
        <is>
          <t>BUG-004</t>
        </is>
      </c>
      <c r="B8" s="16" t="inlineStr">
        <is>
          <t>Tìm kiếm bằng tiếng Việt không dấu trả về 0 kết quả</t>
        </is>
      </c>
      <c r="C8" s="12" t="inlineStr">
        <is>
          <t>Functional</t>
        </is>
      </c>
      <c r="D8" s="21" t="inlineStr">
        <is>
          <t>Major</t>
        </is>
      </c>
      <c r="E8" s="12" t="inlineStr">
        <is>
          <t>High</t>
        </is>
      </c>
      <c r="F8" s="12" t="inlineStr">
        <is>
          <t>FR-01</t>
        </is>
      </c>
      <c r="G8" s="16" t="inlineStr">
        <is>
          <t>TC-FR01-002</t>
        </is>
      </c>
      <c r="H8" s="16" t="inlineStr">
        <is>
          <t>/ (Global Search)</t>
        </is>
      </c>
      <c r="I8" s="16" t="inlineStr">
        <is>
          <t>Chrome 129 / Win 11</t>
        </is>
      </c>
      <c r="J8" s="13" t="inlineStr">
        <is>
          <t>Đang ở trang chủ</t>
        </is>
      </c>
      <c r="K8" s="13" t="inlineStr">
        <is>
          <t>1. Nhập từ khóa 'Nguyen Van'
2. Nhấn Tìm kiếm</t>
        </is>
      </c>
      <c r="L8" s="13" t="inlineStr">
        <is>
          <t>Báo 0 kết quả dù có giảng viên Nguyễn Văn A trong hệ thống</t>
        </is>
      </c>
      <c r="M8" s="13" t="inlineStr">
        <is>
          <t>FR-01: "Hệ thống hỗ trợ tìm kiếm không dấu tương đương tiếng Việt có dấu"</t>
        </is>
      </c>
      <c r="N8" s="16" t="inlineStr">
        <is>
          <t>screenshots/bugs/SEED-04_accent_insensitive_search.png</t>
        </is>
      </c>
      <c r="O8" s="12" t="inlineStr">
        <is>
          <t>06/10/2026</t>
        </is>
      </c>
      <c r="P8" s="12" t="inlineStr">
        <is>
          <t>Đã xác nhận</t>
        </is>
      </c>
      <c r="Q8" s="13" t="inlineStr">
        <is>
          <t>Chấp nhận lỗi, khớp SEED-04</t>
        </is>
      </c>
    </row>
    <row r="9" ht="42" customHeight="1">
      <c r="A9" s="10" t="inlineStr">
        <is>
          <t>BUG-005</t>
        </is>
      </c>
      <c r="B9" s="14" t="inlineStr">
        <is>
          <t>Trạng thái lưu giảng viên (Bookmark) bị mất sau khi tải lại trang (F5)</t>
        </is>
      </c>
      <c r="C9" s="10" t="inlineStr">
        <is>
          <t>Functional</t>
        </is>
      </c>
      <c r="D9" s="10" t="inlineStr">
        <is>
          <t>Medium</t>
        </is>
      </c>
      <c r="E9" s="10" t="inlineStr">
        <is>
          <t>Medium</t>
        </is>
      </c>
      <c r="F9" s="10" t="inlineStr">
        <is>
          <t>FR-04</t>
        </is>
      </c>
      <c r="G9" s="14" t="inlineStr">
        <is>
          <t>TC-FR04-001</t>
        </is>
      </c>
      <c r="H9" s="14" t="inlineStr">
        <is>
          <t>/professors/[id]</t>
        </is>
      </c>
      <c r="I9" s="14" t="inlineStr">
        <is>
          <t>Chrome 129 / Win 11</t>
        </is>
      </c>
      <c r="J9" s="11" t="inlineStr">
        <is>
          <t>Trang chi tiết giảng viên</t>
        </is>
      </c>
      <c r="K9" s="11" t="inlineStr">
        <is>
          <t>1. Bấm Lưu giảng viên
2. Nhấn F5 tải lại trang</t>
        </is>
      </c>
      <c r="L9" s="11" t="inlineStr">
        <is>
          <t>Nút bookmark quay về trạng thái chưa lưu, LocalStorage không được ghi</t>
        </is>
      </c>
      <c r="M9" s="11" t="inlineStr">
        <is>
          <t>FR-04: "Giảng viên đã bookmark phải được lưu bền vững và tồn tại sau khi F5/reload"</t>
        </is>
      </c>
      <c r="N9" s="14" t="inlineStr">
        <is>
          <t>screenshots/bugs/SEED-05_bookmark_lost_on_reload.png</t>
        </is>
      </c>
      <c r="O9" s="10" t="inlineStr">
        <is>
          <t>08/10/2026</t>
        </is>
      </c>
      <c r="P9" s="10" t="inlineStr">
        <is>
          <t>Đã xác nhận</t>
        </is>
      </c>
      <c r="Q9" s="11" t="inlineStr">
        <is>
          <t>Chấp nhận lỗi, khớp SEED-05</t>
        </is>
      </c>
    </row>
    <row r="10" ht="42" customHeight="1">
      <c r="A10" s="12" t="inlineStr">
        <is>
          <t>BUG-006</t>
        </is>
      </c>
      <c r="B10" s="16" t="inlineStr">
        <is>
          <t>Khách vãng lai truy cập trực tiếp trang Quản trị /admin không bị chặn</t>
        </is>
      </c>
      <c r="C10" s="12" t="inlineStr">
        <is>
          <t>Functional</t>
        </is>
      </c>
      <c r="D10" s="17" t="inlineStr">
        <is>
          <t>Critical</t>
        </is>
      </c>
      <c r="E10" s="12" t="inlineStr">
        <is>
          <t>High</t>
        </is>
      </c>
      <c r="F10" s="12" t="inlineStr">
        <is>
          <t>FR-07, SRS-SEC-01</t>
        </is>
      </c>
      <c r="G10" s="16" t="inlineStr">
        <is>
          <t>TC-FR07-005, TC-AUTHZ-005</t>
        </is>
      </c>
      <c r="H10" s="16" t="inlineStr">
        <is>
          <t>/admin</t>
        </is>
      </c>
      <c r="I10" s="16" t="inlineStr">
        <is>
          <t>Edge 129 / Win 11</t>
        </is>
      </c>
      <c r="J10" s="13" t="inlineStr">
        <is>
          <t>Chưa đăng nhập (Tab ẩn danh)</t>
        </is>
      </c>
      <c r="K10" s="13" t="inlineStr">
        <is>
          <t>1. Mở tab ẩn danh
2. Truy cập https://rateurprofs.site/admin</t>
        </is>
      </c>
      <c r="L10" s="13" t="inlineStr">
        <is>
          <t>Giao diện /admin mở ra đầy đủ và cho phép bấm duyệt yêu cầu đính chính</t>
        </is>
      </c>
      <c r="M10" s="13" t="inlineStr">
        <is>
          <t>SRS-SEC-01: "Chỉ tài khoản Admin mới có quyền truy cập /admin, chặn khách hoàn toàn"</t>
        </is>
      </c>
      <c r="N10" s="16" t="inlineStr">
        <is>
          <t>screenshots/bugs/SEED-06_admin_auth_bypass.png</t>
        </is>
      </c>
      <c r="O10" s="12" t="inlineStr">
        <is>
          <t>14/10/2026</t>
        </is>
      </c>
      <c r="P10" s="12" t="inlineStr">
        <is>
          <t>Đã xác nhận</t>
        </is>
      </c>
      <c r="Q10" s="13" t="inlineStr">
        <is>
          <t>Chấp nhận lỗi, khớp SEED-06</t>
        </is>
      </c>
    </row>
    <row r="11" ht="42" customHeight="1">
      <c r="A11" s="10" t="inlineStr">
        <is>
          <t>BUG-007</t>
        </is>
      </c>
      <c r="B11" s="14" t="inlineStr">
        <is>
          <t>Thẻ đánh giá bị nhân đôi (duplicate card) trên giao diện sau khi upvote</t>
        </is>
      </c>
      <c r="C11" s="10" t="inlineStr">
        <is>
          <t>Visual</t>
        </is>
      </c>
      <c r="D11" s="10" t="inlineStr">
        <is>
          <t>Minor</t>
        </is>
      </c>
      <c r="E11" s="10" t="inlineStr">
        <is>
          <t>Low</t>
        </is>
      </c>
      <c r="F11" s="10" t="inlineStr">
        <is>
          <t>FR-05, SRS-VIS-01</t>
        </is>
      </c>
      <c r="G11" s="14" t="inlineStr">
        <is>
          <t>TC-FR05-004</t>
        </is>
      </c>
      <c r="H11" s="14" t="inlineStr">
        <is>
          <t>/professors/[id]</t>
        </is>
      </c>
      <c r="I11" s="14" t="inlineStr">
        <is>
          <t>Firefox 130 / macOS</t>
        </is>
      </c>
      <c r="J11" s="11" t="inlineStr">
        <is>
          <t>Đang xem đánh giá</t>
        </is>
      </c>
      <c r="K11" s="11" t="inlineStr">
        <is>
          <t>1. Bấm Upvote tại bài viết đầu tiên
2. Cuộn nhẹ danh sách</t>
        </is>
      </c>
      <c r="L11" s="11" t="inlineStr">
        <is>
          <t>Xuất hiện 2 thẻ đánh giá giống hệt nhau do lỗi key rendering trong React list</t>
        </is>
      </c>
      <c r="M11" s="11" t="inlineStr">
        <is>
          <t>SRS-VIS-01: "Thẻ đánh giá hiển thị đơn nhất, không bị nhân bản hay giật layout"</t>
        </is>
      </c>
      <c r="N11" s="14" t="inlineStr">
        <is>
          <t>screenshots/bugs/SEED-07_duplicated_review_card.png</t>
        </is>
      </c>
      <c r="O11" s="10" t="inlineStr">
        <is>
          <t>11/10/2026</t>
        </is>
      </c>
      <c r="P11" s="10" t="inlineStr">
        <is>
          <t>Đã xác nhận</t>
        </is>
      </c>
      <c r="Q11" s="11" t="inlineStr">
        <is>
          <t>Chấp nhận lỗi, khớp SEED-07</t>
        </is>
      </c>
    </row>
    <row r="12" ht="42" customHeight="1">
      <c r="A12" s="12" t="inlineStr">
        <is>
          <t>BUG-008</t>
        </is>
      </c>
      <c r="B12" s="16" t="inlineStr">
        <is>
          <t>Giao diện bị tràn viền ngang 45px trên màn hình di động 375px</t>
        </is>
      </c>
      <c r="C12" s="12" t="inlineStr">
        <is>
          <t>Visual</t>
        </is>
      </c>
      <c r="D12" s="12" t="inlineStr">
        <is>
          <t>Medium</t>
        </is>
      </c>
      <c r="E12" s="12" t="inlineStr">
        <is>
          <t>Medium</t>
        </is>
      </c>
      <c r="F12" s="12" t="inlineStr">
        <is>
          <t>NFR-04</t>
        </is>
      </c>
      <c r="G12" s="16" t="inlineStr">
        <is>
          <t>TC-NFR04-001</t>
        </is>
      </c>
      <c r="H12" s="16" t="inlineStr">
        <is>
          <t>/ và /universities</t>
        </is>
      </c>
      <c r="I12" s="16" t="inlineStr">
        <is>
          <t>Chrome DevTools (375px)</t>
        </is>
      </c>
      <c r="J12" s="13" t="inlineStr">
        <is>
          <t>Màn hình 375x667</t>
        </is>
      </c>
      <c r="K12" s="13" t="inlineStr">
        <is>
          <t>1. Đặt viewport 375px
2. Mở trang chủ và vuốt sang phải</t>
        </is>
      </c>
      <c r="L12" s="13" t="inlineStr">
        <is>
          <t>Thanh cuộn ngang xuất hiện, trang bị lệch do class min-w-[420px] cố định</t>
        </is>
      </c>
      <c r="M12" s="13" t="inlineStr">
        <is>
          <t>NFR-04: "Giao diện responsive từ 375px đến 1920px, không xuất hiện thanh cuộn ngang"</t>
        </is>
      </c>
      <c r="N12" s="16" t="inlineStr">
        <is>
          <t>screenshots/bugs/SEED-08_mobile_overflow_375px.png</t>
        </is>
      </c>
      <c r="O12" s="12" t="inlineStr">
        <is>
          <t>24/10/2026</t>
        </is>
      </c>
      <c r="P12" s="12" t="inlineStr">
        <is>
          <t>Đã xác nhận</t>
        </is>
      </c>
      <c r="Q12" s="13" t="inlineStr">
        <is>
          <t>Chấp nhận lỗi, khớp SEED-08</t>
        </is>
      </c>
    </row>
    <row r="13" ht="42" customHeight="1">
      <c r="A13" s="10" t="inlineStr">
        <is>
          <t>BUG-009</t>
        </is>
      </c>
      <c r="B13" s="14" t="inlineStr">
        <is>
          <t>Avatar giảng viên bị co giãn méo hình (aspect ratio distortion)</t>
        </is>
      </c>
      <c r="C13" s="10" t="inlineStr">
        <is>
          <t>Visual</t>
        </is>
      </c>
      <c r="D13" s="10" t="inlineStr">
        <is>
          <t>Minor</t>
        </is>
      </c>
      <c r="E13" s="10" t="inlineStr">
        <is>
          <t>Low</t>
        </is>
      </c>
      <c r="F13" s="10" t="inlineStr">
        <is>
          <t>FR-03, SRS-VIS-02</t>
        </is>
      </c>
      <c r="G13" s="14" t="inlineStr">
        <is>
          <t>TC-FR03-002</t>
        </is>
      </c>
      <c r="H13" s="14" t="inlineStr">
        <is>
          <t>/professors/[id]</t>
        </is>
      </c>
      <c r="I13" s="14" t="inlineStr">
        <is>
          <t>Chrome 129 / Win 11</t>
        </is>
      </c>
      <c r="J13" s="11" t="inlineStr">
        <is>
          <t>Giảng viên có avatar chữ nhật</t>
        </is>
      </c>
      <c r="K13" s="11" t="inlineStr">
        <is>
          <t>1. Mở trang giảng viên có ảnh chữ nhật
2. Quan sát avatar</t>
        </is>
      </c>
      <c r="L13" s="11" t="inlineStr">
        <is>
          <t>Ảnh bị dẹt ngang hoặc kéo dài dọc do thiếu class object-cover</t>
        </is>
      </c>
      <c r="M13" s="11" t="inlineStr">
        <is>
          <t>SRS-VIS-02: "Ảnh avatar giảng viên phải giữ tỷ lệ chuẩn 1:1, không bị co kéo méo mặt"</t>
        </is>
      </c>
      <c r="N13" s="14" t="inlineStr">
        <is>
          <t>screenshots/bugs/SEED-09_avatar_aspect_distortion.png</t>
        </is>
      </c>
      <c r="O13" s="10" t="inlineStr">
        <is>
          <t>08/10/2026</t>
        </is>
      </c>
      <c r="P13" s="10" t="inlineStr">
        <is>
          <t>Đã xác nhận</t>
        </is>
      </c>
      <c r="Q13" s="11" t="inlineStr">
        <is>
          <t>Chấp nhận lỗi, khớp SEED-09</t>
        </is>
      </c>
    </row>
    <row r="14" ht="42" customHeight="1">
      <c r="A14" s="12" t="inlineStr">
        <is>
          <t>BUG-010</t>
        </is>
      </c>
      <c r="B14" s="16" t="inlineStr">
        <is>
          <t>Danh sách đã lưu bị hoán đổi chéo thông tin trường giữa 2 giảng viên</t>
        </is>
      </c>
      <c r="C14" s="12" t="inlineStr">
        <is>
          <t>Content</t>
        </is>
      </c>
      <c r="D14" s="21" t="inlineStr">
        <is>
          <t>Major</t>
        </is>
      </c>
      <c r="E14" s="12" t="inlineStr">
        <is>
          <t>High</t>
        </is>
      </c>
      <c r="F14" s="12" t="inlineStr">
        <is>
          <t>FR-04</t>
        </is>
      </c>
      <c r="G14" s="16" t="inlineStr">
        <is>
          <t>TC-FR04-003</t>
        </is>
      </c>
      <c r="H14" s="16" t="inlineStr">
        <is>
          <t>Drawer / Danh sách đã lưu</t>
        </is>
      </c>
      <c r="I14" s="16" t="inlineStr">
        <is>
          <t>Chrome 129 / Win 11</t>
        </is>
      </c>
      <c r="J14" s="13" t="inlineStr">
        <is>
          <t>Đã lưu 2 giảng viên A và B</t>
        </is>
      </c>
      <c r="K14" s="13" t="inlineStr">
        <is>
          <t>1. Lưu GV A (VNU) và GV B (HUST)
2. Mở danh sách đã lưu</t>
        </is>
      </c>
      <c r="L14" s="13" t="inlineStr">
        <is>
          <t>Giảng viên A bị gán trường HUST và ngược lại do sai index mảng</t>
        </is>
      </c>
      <c r="M14" s="13" t="inlineStr">
        <is>
          <t>FR-04: "Danh sách đã lưu phải hiển thị chính xác tên và đơn vị công tác của từng người"</t>
        </is>
      </c>
      <c r="N14" s="16" t="inlineStr">
        <is>
          <t>screenshots/bugs/SEED-10_saved_professors_cross_swapped.png</t>
        </is>
      </c>
      <c r="O14" s="12" t="inlineStr">
        <is>
          <t>08/10/2026</t>
        </is>
      </c>
      <c r="P14" s="12" t="inlineStr">
        <is>
          <t>Đã xác nhận</t>
        </is>
      </c>
      <c r="Q14" s="13" t="inlineStr">
        <is>
          <t>Chấp nhận lỗi, khớp SEED-10</t>
        </is>
      </c>
    </row>
    <row r="15" ht="42" customHeight="1">
      <c r="A15" s="10" t="inlineStr">
        <is>
          <t>BUG-011</t>
        </is>
      </c>
      <c r="B15" s="14" t="inlineStr">
        <is>
          <t>Chuyển ngôn ngữ sang EN làm mất sạch từ khóa và bộ lọc tìm kiếm trên URL</t>
        </is>
      </c>
      <c r="C15" s="10" t="inlineStr">
        <is>
          <t>Content</t>
        </is>
      </c>
      <c r="D15" s="10" t="inlineStr">
        <is>
          <t>Medium</t>
        </is>
      </c>
      <c r="E15" s="10" t="inlineStr">
        <is>
          <t>Medium</t>
        </is>
      </c>
      <c r="F15" s="10" t="inlineStr">
        <is>
          <t>FR-11</t>
        </is>
      </c>
      <c r="G15" s="14" t="inlineStr">
        <is>
          <t>TC-FR11-002</t>
        </is>
      </c>
      <c r="H15" s="14" t="inlineStr">
        <is>
          <t>Header Language Switcher</t>
        </is>
      </c>
      <c r="I15" s="14" t="inlineStr">
        <is>
          <t>Safari 18 / iPhone</t>
        </is>
      </c>
      <c r="J15" s="11" t="inlineStr">
        <is>
          <t>Đang ở /professors?q=Hoa&amp;dept=IT</t>
        </is>
      </c>
      <c r="K15" s="11" t="inlineStr">
        <is>
          <t>1. Đang có bộ lọc tìm kiếm
2. Bấm chuyển sang 'EN'</t>
        </is>
      </c>
      <c r="L15" s="11" t="inlineStr">
        <is>
          <t>URL bị reset về /en/professors, mất sạch param ?q=Hoa&amp;dept=IT</t>
        </is>
      </c>
      <c r="M15" s="11" t="inlineStr">
        <is>
          <t>FR-11: "Chuyển đổi ngôn ngữ phải bảo toàn nguyên vẹn mọi tham số lọc trên URL"</t>
        </is>
      </c>
      <c r="N15" s="14" t="inlineStr">
        <is>
          <t>screenshots/bugs/SEED-11_lang_switch_resets_params.png</t>
        </is>
      </c>
      <c r="O15" s="10" t="inlineStr">
        <is>
          <t>18/10/2026</t>
        </is>
      </c>
      <c r="P15" s="10" t="inlineStr">
        <is>
          <t>Đã xác nhận</t>
        </is>
      </c>
      <c r="Q15" s="11" t="inlineStr">
        <is>
          <t>Chấp nhận lỗi, khớp SEED-11</t>
        </is>
      </c>
    </row>
    <row r="16" ht="42" customHeight="1">
      <c r="A16" s="12" t="inlineStr">
        <is>
          <t>BUG-012</t>
        </is>
      </c>
      <c r="B16" s="16" t="inlineStr">
        <is>
          <t>Nhãn tiêu chí và nút gửi hiển thị tiếng Việt thô trên giao diện tiếng Anh</t>
        </is>
      </c>
      <c r="C16" s="12" t="inlineStr">
        <is>
          <t>Content</t>
        </is>
      </c>
      <c r="D16" s="12" t="inlineStr">
        <is>
          <t>Minor</t>
        </is>
      </c>
      <c r="E16" s="12" t="inlineStr">
        <is>
          <t>Low</t>
        </is>
      </c>
      <c r="F16" s="12" t="inlineStr">
        <is>
          <t>FR-11</t>
        </is>
      </c>
      <c r="G16" s="16" t="inlineStr">
        <is>
          <t>TC-FR11-003</t>
        </is>
      </c>
      <c r="H16" s="16" t="inlineStr">
        <is>
          <t>/en/professors/[id]/rate</t>
        </is>
      </c>
      <c r="I16" s="16" t="inlineStr">
        <is>
          <t>Safari 18 / iPhone</t>
        </is>
      </c>
      <c r="J16" s="13" t="inlineStr">
        <is>
          <t>Giao diện tiếng Anh</t>
        </is>
      </c>
      <c r="K16" s="13" t="inlineStr">
        <is>
          <t>1. Mở form đánh giá trên /en/
2. Đọc các nhãn tiêu chí</t>
        </is>
      </c>
      <c r="L16" s="13" t="inlineStr">
        <is>
          <t>Vẫn hiển thị 'Tính công bằng khi chấm điểm' và 'Gửi đánh giá' thay vì tiếng Anh</t>
        </is>
      </c>
      <c r="M16" s="13" t="inlineStr">
        <is>
          <t>FR-11: "Toàn bộ nhãn trên giao diện tiếng Anh phải được bản địa hóa 100% sang tiếng Anh"</t>
        </is>
      </c>
      <c r="N16" s="16" t="inlineStr">
        <is>
          <t>screenshots/bugs/SEED-12_hardcoded_vietnamese_labels.png</t>
        </is>
      </c>
      <c r="O16" s="12" t="inlineStr">
        <is>
          <t>18/10/2026</t>
        </is>
      </c>
      <c r="P16" s="12" t="inlineStr">
        <is>
          <t>Đã xác nhận</t>
        </is>
      </c>
      <c r="Q16" s="13" t="inlineStr">
        <is>
          <t>Chấp nhận lỗi, khớp SEED-12</t>
        </is>
      </c>
    </row>
    <row r="17" ht="42" customHeight="1">
      <c r="A17" s="10" t="inlineStr">
        <is>
          <t>BUG-013</t>
        </is>
      </c>
      <c r="B17" s="14" t="inlineStr">
        <is>
          <t>Thời gian phản hồi P90 API tìm kiếm lên tới 4.82s khi tải 20 người dùng</t>
        </is>
      </c>
      <c r="C17" s="10" t="inlineStr">
        <is>
          <t>Performance</t>
        </is>
      </c>
      <c r="D17" s="20" t="inlineStr">
        <is>
          <t>Major</t>
        </is>
      </c>
      <c r="E17" s="10" t="inlineStr">
        <is>
          <t>High</t>
        </is>
      </c>
      <c r="F17" s="10" t="inlineStr">
        <is>
          <t>NFR-01</t>
        </is>
      </c>
      <c r="G17" s="14" t="inlineStr">
        <is>
          <t>TC-NFR01-001</t>
        </is>
      </c>
      <c r="H17" s="14" t="inlineStr">
        <is>
          <t>GET /api/search</t>
        </is>
      </c>
      <c r="I17" s="14" t="inlineStr">
        <is>
          <t>JMeter 5.6.3</t>
        </is>
      </c>
      <c r="J17" s="11" t="inlineStr">
        <is>
          <t>20 concurrent users, 30s ramp-up</t>
        </is>
      </c>
      <c r="K17" s="11" t="inlineStr">
        <is>
          <t>1. Chạy test plan JMeter
2. Đo thời gian phản hồi</t>
        </is>
      </c>
      <c r="L17" s="11" t="inlineStr">
        <is>
          <t>Thời gian P90 = 4.82s (vượt quá ngưỡng cho phép 2.0s)</t>
        </is>
      </c>
      <c r="M17" s="11" t="inlineStr">
        <is>
          <t>NFR-01: "Thời gian phản hồi P90 của API tìm kiếm ≤ 2.0s với 20 người dùng đồng thời"</t>
        </is>
      </c>
      <c r="N17" s="14" t="inlineStr">
        <is>
          <t>screenshots/bugs/SEED-13_jmeter_search_p90_bottleneck.png</t>
        </is>
      </c>
      <c r="O17" s="10" t="inlineStr">
        <is>
          <t>24/10/2026</t>
        </is>
      </c>
      <c r="P17" s="10" t="inlineStr">
        <is>
          <t>Đã xác nhận</t>
        </is>
      </c>
      <c r="Q17" s="11" t="inlineStr">
        <is>
          <t>Chấp nhận lỗi, khớp SEED-13</t>
        </is>
      </c>
    </row>
    <row r="18" ht="42" customHeight="1">
      <c r="A18" s="12" t="inlineStr">
        <is>
          <t>BUG-014</t>
        </is>
      </c>
      <c r="B18" s="16" t="inlineStr">
        <is>
          <t>Chỉ số LCP trang chủ lên tới 5.4s do ảnh banner chưa tối ưu kích thước</t>
        </is>
      </c>
      <c r="C18" s="12" t="inlineStr">
        <is>
          <t>Performance</t>
        </is>
      </c>
      <c r="D18" s="12" t="inlineStr">
        <is>
          <t>Medium</t>
        </is>
      </c>
      <c r="E18" s="12" t="inlineStr">
        <is>
          <t>Medium</t>
        </is>
      </c>
      <c r="F18" s="12" t="inlineStr">
        <is>
          <t>NFR-02</t>
        </is>
      </c>
      <c r="G18" s="16" t="inlineStr">
        <is>
          <t>TC-NFR02-001</t>
        </is>
      </c>
      <c r="H18" s="16" t="inlineStr">
        <is>
          <t>/ (Trang chủ)</t>
        </is>
      </c>
      <c r="I18" s="16" t="inlineStr">
        <is>
          <t>Lighthouse Mobile</t>
        </is>
      </c>
      <c r="J18" s="13" t="inlineStr">
        <is>
          <t>Mạng Fast 4G</t>
        </is>
      </c>
      <c r="K18" s="13" t="inlineStr">
        <is>
          <t>1. Chạy audit Lighthouse
2. Đọc chỉ số LCP</t>
        </is>
      </c>
      <c r="L18" s="13" t="inlineStr">
        <is>
          <t>LCP = 5.4s do ảnh banner PNG 3.8MB chặn luồng render</t>
        </is>
      </c>
      <c r="M18" s="13" t="inlineStr">
        <is>
          <t>NFR-02: "Chỉ số LCP trên mạng 4G tiêu chuẩn phải ≤ 2.5s theo chuẩn Web Vitals"</t>
        </is>
      </c>
      <c r="N18" s="16" t="inlineStr">
        <is>
          <t>screenshots/bugs/SEED-14_lcp_lighthouse_slow.png</t>
        </is>
      </c>
      <c r="O18" s="12" t="inlineStr">
        <is>
          <t>24/10/2026</t>
        </is>
      </c>
      <c r="P18" s="12" t="inlineStr">
        <is>
          <t>Đã xác nhận</t>
        </is>
      </c>
      <c r="Q18" s="13" t="inlineStr">
        <is>
          <t>Chấp nhận lỗi, khớp SEED-14</t>
        </is>
      </c>
    </row>
    <row r="19" ht="42" customHeight="1">
      <c r="A19" s="10" t="inlineStr">
        <is>
          <t>BUG-015</t>
        </is>
      </c>
      <c r="B19" s="14" t="inlineStr">
        <is>
          <t>Gửi body JSON rỗng tới API đánh giá gây crash unhandled HTTP 500</t>
        </is>
      </c>
      <c r="C19" s="10" t="inlineStr">
        <is>
          <t>Crash</t>
        </is>
      </c>
      <c r="D19" s="19" t="inlineStr">
        <is>
          <t>Critical</t>
        </is>
      </c>
      <c r="E19" s="10" t="inlineStr">
        <is>
          <t>High</t>
        </is>
      </c>
      <c r="F19" s="10" t="inlineStr">
        <is>
          <t>FR-06, NFR-05</t>
        </is>
      </c>
      <c r="G19" s="14" t="inlineStr">
        <is>
          <t>TC-FR06-006, TC-NFR05-001</t>
        </is>
      </c>
      <c r="H19" s="14" t="inlineStr">
        <is>
          <t>POST /api/lecturers/[id]/reviews</t>
        </is>
      </c>
      <c r="I19" s="14" t="inlineStr">
        <is>
          <t>Postman / Node</t>
        </is>
      </c>
      <c r="J19" s="11" t="inlineStr">
        <is>
          <t>API endpoint</t>
        </is>
      </c>
      <c r="K19" s="11" t="inlineStr">
        <is>
          <t>1. Gửi request POST body rỗng {}
2. Đọc response</t>
        </is>
      </c>
      <c r="L19" s="11" t="inlineStr">
        <is>
          <t>Server trả về HTTP 500 Internal Server Error (TypeError: Cannot read properties of undefined)</t>
        </is>
      </c>
      <c r="M19" s="11" t="inlineStr">
        <is>
          <t>NFR-05: "Hệ thống phải xử lý an toàn payload không hợp lệ, tuyệt đối không trả HTTP 500"</t>
        </is>
      </c>
      <c r="N19" s="14" t="inlineStr">
        <is>
          <t>screenshots/bugs/SEED-15_crash_http_500.png</t>
        </is>
      </c>
      <c r="O19" s="10" t="inlineStr">
        <is>
          <t>11/10/2026</t>
        </is>
      </c>
      <c r="P19" s="10" t="inlineStr">
        <is>
          <t>Đã xác nhận</t>
        </is>
      </c>
      <c r="Q19" s="11" t="inlineStr">
        <is>
          <t>Chấp nhận lỗi, khớp SEED-15</t>
        </is>
      </c>
    </row>
    <row r="20" ht="42" customHeight="1">
      <c r="A20" s="12" t="inlineStr">
        <is>
          <t>BUG-016</t>
        </is>
      </c>
      <c r="B20" s="16" t="inlineStr">
        <is>
          <t>Mất kết nối mạng khiến giao diện tìm kiếm xoay loading vô hạn và đơ</t>
        </is>
      </c>
      <c r="C20" s="12" t="inlineStr">
        <is>
          <t>Crash</t>
        </is>
      </c>
      <c r="D20" s="21" t="inlineStr">
        <is>
          <t>Major</t>
        </is>
      </c>
      <c r="E20" s="12" t="inlineStr">
        <is>
          <t>High</t>
        </is>
      </c>
      <c r="F20" s="12" t="inlineStr">
        <is>
          <t>FR-01, NFR-06</t>
        </is>
      </c>
      <c r="G20" s="16" t="inlineStr">
        <is>
          <t>TC-NFR06-001</t>
        </is>
      </c>
      <c r="H20" s="16" t="inlineStr">
        <is>
          <t>/professors</t>
        </is>
      </c>
      <c r="I20" s="16" t="inlineStr">
        <is>
          <t>Chrome DevTools Offline</t>
        </is>
      </c>
      <c r="J20" s="13" t="inlineStr">
        <is>
          <t>Đang thực hiện tìm kiếm</t>
        </is>
      </c>
      <c r="K20" s="13" t="inlineStr">
        <is>
          <t>1. Nhập từ khóa
2. Bật Offline
3. Bấm Tìm kiếm</t>
        </is>
      </c>
      <c r="L20" s="13" t="inlineStr">
        <is>
          <t>Spinner quay vô hạn, nút tìm kiếm bị disable vĩnh viễn, đơ giao diện</t>
        </is>
      </c>
      <c r="M20" s="13" t="inlineStr">
        <is>
          <t>NFR-06: "Hệ thống phải tự timeout sau 5s và báo lỗi thân thiện khi mất kết nối mạng"</t>
        </is>
      </c>
      <c r="N20" s="16" t="inlineStr">
        <is>
          <t>screenshots/bugs/SEED-16_infinite_spinner_freeze.png</t>
        </is>
      </c>
      <c r="O20" s="12" t="inlineStr">
        <is>
          <t>24/10/2026</t>
        </is>
      </c>
      <c r="P20" s="12" t="inlineStr">
        <is>
          <t>Đã xác nhận</t>
        </is>
      </c>
      <c r="Q20" s="13" t="inlineStr">
        <is>
          <t>Chấp nhận lỗi, khớp SEED-16</t>
        </is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TỔNG HỢP SỐ LIỆU (TỰ ĐỘNG)</t>
        </is>
      </c>
    </row>
    <row r="2">
      <c r="A2" s="2" t="inlineStr">
        <is>
          <t>Không cần điền. Dùng các số liệu này cho Test Summary Report.</t>
        </is>
      </c>
    </row>
    <row r="4">
      <c r="A4" s="6" t="inlineStr">
        <is>
          <t>1. Kiểm tra số lượng tối thiểu</t>
        </is>
      </c>
      <c r="B4" s="22" t="inlineStr">
        <is>
          <t>Hiện có</t>
        </is>
      </c>
      <c r="C4" s="22" t="inlineStr">
        <is>
          <t>Tối thiểu</t>
        </is>
      </c>
      <c r="D4" s="22" t="inlineStr">
        <is>
          <t>Trạng thái</t>
        </is>
      </c>
    </row>
    <row r="5">
      <c r="A5" s="7" t="inlineStr">
        <is>
          <t>Test case chức năng</t>
        </is>
      </c>
      <c r="B5" s="23">
        <f>COUNTA(TC_Chuc_nang!A5:A100)</f>
        <v/>
      </c>
      <c r="C5" s="24" t="n">
        <v>60</v>
      </c>
      <c r="D5" s="25">
        <f>IF(B5&gt;=C5, "Đạt", "Chưa đạt")</f>
        <v/>
      </c>
    </row>
    <row r="6">
      <c r="A6" s="7" t="inlineStr">
        <is>
          <t>Test case phi chức năng</t>
        </is>
      </c>
      <c r="B6" s="23">
        <f>COUNTA(TC_Phi_chuc_nang!A5:A30)</f>
        <v/>
      </c>
      <c r="C6" s="24" t="n">
        <v>10</v>
      </c>
      <c r="D6" s="25">
        <f>IF(B6&gt;=C6, "Đạt", "Chưa đạt")</f>
        <v/>
      </c>
    </row>
    <row r="7">
      <c r="A7" s="7" t="inlineStr">
        <is>
          <t>Test case luồng E2E (Use case / E2E)</t>
        </is>
      </c>
      <c r="B7" s="23">
        <f>COUNTIF(TC_Chuc_nang!C5:C100, "Use case / E2E")</f>
        <v/>
      </c>
      <c r="C7" s="24" t="n">
        <v>9</v>
      </c>
      <c r="D7" s="25">
        <f>IF(B7&gt;=C7, "Đạt", "Chưa đạt")</f>
        <v/>
      </c>
    </row>
    <row r="8">
      <c r="A8" s="7" t="inlineStr">
        <is>
          <t>Số kỹ thuật thiết kế đã dùng</t>
        </is>
      </c>
      <c r="B8" s="23">
        <f>IF(COUNTIF(TC_Chuc_nang!C5:C100, "*EP*")&gt;0,1,0)+IF(COUNTIF(TC_Chuc_nang!C5:C100, "*BVA*")&gt;0,1,0)+IF(COUNTIF(TC_Chuc_nang!C5:C100, "*quyết định*")&gt;0,1,0)+IF(COUNTIF(TC_Chuc_nang!C5:C100, "*trạng thái*")&gt;0,1,0)</f>
        <v/>
      </c>
      <c r="C8" s="24" t="n">
        <v>4</v>
      </c>
      <c r="D8" s="25">
        <f>IF(B8&gt;=C8, "Đạt", "Chưa đạt")</f>
        <v/>
      </c>
    </row>
    <row r="9">
      <c r="A9" s="8" t="inlineStr">
        <is>
          <t>Ghi chú: dòng ví dụ ở đầu mỗi sheet cũng được đếm, hãy ghi đè hoặc xoá trước khi nộp.</t>
        </is>
      </c>
    </row>
    <row r="11">
      <c r="A11" s="6" t="inlineStr">
        <is>
          <t>2. Kết quả thực thi</t>
        </is>
      </c>
      <c r="B11" s="22" t="inlineStr">
        <is>
          <t>Chức năng</t>
        </is>
      </c>
      <c r="C11" s="22" t="inlineStr">
        <is>
          <t>Phi chức năng</t>
        </is>
      </c>
      <c r="D11" s="22" t="inlineStr">
        <is>
          <t>Tổng</t>
        </is>
      </c>
    </row>
    <row r="12">
      <c r="A12" s="7" t="inlineStr">
        <is>
          <t>Tổng số test case</t>
        </is>
      </c>
      <c r="B12" s="23">
        <f>B5</f>
        <v/>
      </c>
      <c r="C12" s="23">
        <f>B6</f>
        <v/>
      </c>
      <c r="D12" s="23">
        <f>B12+C12</f>
        <v/>
      </c>
    </row>
    <row r="13">
      <c r="A13" s="7" t="inlineStr">
        <is>
          <t>Pass</t>
        </is>
      </c>
      <c r="B13" s="23">
        <f>COUNTIF(TC_Chuc_nang!J5:J100, "Pass")</f>
        <v/>
      </c>
      <c r="C13" s="23">
        <f>COUNTIF(TC_Phi_chuc_nang!J5:J30, "Pass")</f>
        <v/>
      </c>
      <c r="D13" s="23">
        <f>B13+C13</f>
        <v/>
      </c>
    </row>
    <row r="14">
      <c r="A14" s="7" t="inlineStr">
        <is>
          <t>Fail</t>
        </is>
      </c>
      <c r="B14" s="23">
        <f>COUNTIF(TC_Chuc_nang!J5:J100, "Fail")</f>
        <v/>
      </c>
      <c r="C14" s="23">
        <f>COUNTIF(TC_Phi_chuc_nang!J5:J30, "Fail")</f>
        <v/>
      </c>
      <c r="D14" s="23">
        <f>B14+C14</f>
        <v/>
      </c>
    </row>
    <row r="15">
      <c r="A15" s="7" t="inlineStr">
        <is>
          <t>Blocked</t>
        </is>
      </c>
      <c r="B15" s="23">
        <f>COUNTIF(TC_Chuc_nang!J5:J100, "Blocked")</f>
        <v/>
      </c>
      <c r="C15" s="23">
        <f>COUNTIF(TC_Phi_chuc_nang!J5:J30, "Blocked")</f>
        <v/>
      </c>
      <c r="D15" s="23">
        <f>B15+C15</f>
        <v/>
      </c>
    </row>
    <row r="17">
      <c r="A17" s="6" t="inlineStr">
        <is>
          <t>3. Bug theo loại và mức nghiêm trọng</t>
        </is>
      </c>
      <c r="B17" s="22" t="inlineStr">
        <is>
          <t>Critical</t>
        </is>
      </c>
      <c r="C17" s="22" t="inlineStr">
        <is>
          <t>Major</t>
        </is>
      </c>
      <c r="D17" s="22" t="inlineStr">
        <is>
          <t>Minor</t>
        </is>
      </c>
      <c r="E17" s="22" t="inlineStr">
        <is>
          <t>Trivial</t>
        </is>
      </c>
      <c r="F17" s="22" t="inlineStr">
        <is>
          <t>Tổng</t>
        </is>
      </c>
    </row>
    <row r="18">
      <c r="A18" s="7" t="inlineStr">
        <is>
          <t>Functional</t>
        </is>
      </c>
      <c r="B18" s="24">
        <f>COUNTIFS(Bug_Report!C5:C30, "Functional", Bug_Report!D5:D30, "Critical")</f>
        <v/>
      </c>
      <c r="C18" s="24">
        <f>COUNTIFS(Bug_Report!C5:C30, "Functional", Bug_Report!D5:D30, "Major")</f>
        <v/>
      </c>
      <c r="D18" s="24">
        <f>COUNTIFS(Bug_Report!C5:C30, "Functional", Bug_Report!D5:D30, "Minor")</f>
        <v/>
      </c>
      <c r="E18" s="24">
        <f>COUNTIFS(Bug_Report!C5:C30, "Functional", Bug_Report!D5:D30, "Trivial")</f>
        <v/>
      </c>
      <c r="F18" s="23">
        <f>SUM(B18:E18)</f>
        <v/>
      </c>
    </row>
    <row r="19">
      <c r="A19" s="7" t="inlineStr">
        <is>
          <t>Visual</t>
        </is>
      </c>
      <c r="B19" s="24">
        <f>COUNTIFS(Bug_Report!C5:C30, "Visual", Bug_Report!D5:D30, "Critical")</f>
        <v/>
      </c>
      <c r="C19" s="24">
        <f>COUNTIFS(Bug_Report!C5:C30, "Visual", Bug_Report!D5:D30, "Major")</f>
        <v/>
      </c>
      <c r="D19" s="24">
        <f>COUNTIFS(Bug_Report!C5:C30, "Visual", Bug_Report!D5:D30, "Minor")</f>
        <v/>
      </c>
      <c r="E19" s="24">
        <f>COUNTIFS(Bug_Report!C5:C30, "Visual", Bug_Report!D5:D30, "Trivial")</f>
        <v/>
      </c>
      <c r="F19" s="23">
        <f>SUM(B19:E19)</f>
        <v/>
      </c>
    </row>
    <row r="20">
      <c r="A20" s="7" t="inlineStr">
        <is>
          <t>Content</t>
        </is>
      </c>
      <c r="B20" s="24">
        <f>COUNTIFS(Bug_Report!C5:C30, "Content", Bug_Report!D5:D30, "Critical")</f>
        <v/>
      </c>
      <c r="C20" s="24">
        <f>COUNTIFS(Bug_Report!C5:C30, "Content", Bug_Report!D5:D30, "Major")</f>
        <v/>
      </c>
      <c r="D20" s="24">
        <f>COUNTIFS(Bug_Report!C5:C30, "Content", Bug_Report!D5:D30, "Minor")</f>
        <v/>
      </c>
      <c r="E20" s="24">
        <f>COUNTIFS(Bug_Report!C5:C30, "Content", Bug_Report!D5:D30, "Trivial")</f>
        <v/>
      </c>
      <c r="F20" s="23">
        <f>SUM(B20:E20)</f>
        <v/>
      </c>
    </row>
    <row r="21">
      <c r="A21" s="7" t="inlineStr">
        <is>
          <t>Performance</t>
        </is>
      </c>
      <c r="B21" s="24">
        <f>COUNTIFS(Bug_Report!C5:C30, "Performance", Bug_Report!D5:D30, "Critical")</f>
        <v/>
      </c>
      <c r="C21" s="24">
        <f>COUNTIFS(Bug_Report!C5:C30, "Performance", Bug_Report!D5:D30, "Major")</f>
        <v/>
      </c>
      <c r="D21" s="24">
        <f>COUNTIFS(Bug_Report!C5:C30, "Performance", Bug_Report!D5:D30, "Minor")</f>
        <v/>
      </c>
      <c r="E21" s="24">
        <f>COUNTIFS(Bug_Report!C5:C30, "Performance", Bug_Report!D5:D30, "Trivial")</f>
        <v/>
      </c>
      <c r="F21" s="23">
        <f>SUM(B21:E21)</f>
        <v/>
      </c>
    </row>
    <row r="22">
      <c r="A22" s="7" t="inlineStr">
        <is>
          <t>Crash</t>
        </is>
      </c>
      <c r="B22" s="24">
        <f>COUNTIFS(Bug_Report!C5:C30, "Crash", Bug_Report!D5:D30, "Critical")</f>
        <v/>
      </c>
      <c r="C22" s="24">
        <f>COUNTIFS(Bug_Report!C5:C30, "Crash", Bug_Report!D5:D30, "Major")</f>
        <v/>
      </c>
      <c r="D22" s="24">
        <f>COUNTIFS(Bug_Report!C5:C30, "Crash", Bug_Report!D5:D30, "Minor")</f>
        <v/>
      </c>
      <c r="E22" s="24">
        <f>COUNTIFS(Bug_Report!C5:C30, "Crash", Bug_Report!D5:D30, "Trivial")</f>
        <v/>
      </c>
      <c r="F22" s="23">
        <f>SUM(B22:E22)</f>
        <v/>
      </c>
    </row>
    <row r="23">
      <c r="A23" s="26" t="inlineStr">
        <is>
          <t>Tổng</t>
        </is>
      </c>
      <c r="B23" s="23">
        <f>SUM(B18:B22)</f>
        <v/>
      </c>
      <c r="C23" s="23">
        <f>SUM(C18:C22)</f>
        <v/>
      </c>
      <c r="D23" s="23">
        <f>SUM(D18:D22)</f>
        <v/>
      </c>
      <c r="E23" s="23">
        <f>SUM(E18:E22)</f>
        <v/>
      </c>
      <c r="F23" s="23">
        <f>SUM(F18:F22)</f>
        <v/>
      </c>
    </row>
    <row r="25">
      <c r="A25" s="6" t="inlineStr">
        <is>
          <t>4. Bug theo trạng thái phản hồi</t>
        </is>
      </c>
      <c r="B25" s="22" t="inlineStr">
        <is>
          <t>Số lượng</t>
        </is>
      </c>
    </row>
    <row r="26">
      <c r="A26" s="7" t="inlineStr">
        <is>
          <t>Mới</t>
        </is>
      </c>
      <c r="B26" s="23">
        <f>COUNTIF(Bug_Report!P5:P30, "Mới")</f>
        <v/>
      </c>
    </row>
    <row r="27">
      <c r="A27" s="7" t="inlineStr">
        <is>
          <t>Đã xác nhận</t>
        </is>
      </c>
      <c r="B27" s="23">
        <f>COUNTIF(Bug_Report!P5:P30, "Đã xác nhận")</f>
        <v/>
      </c>
    </row>
    <row r="28">
      <c r="A28" s="7" t="inlineStr">
        <is>
          <t>Bị từ chối</t>
        </is>
      </c>
      <c r="B28" s="23">
        <f>COUNTIF(Bug_Report!P5:P30, "Bị từ chối")</f>
        <v/>
      </c>
    </row>
    <row r="29">
      <c r="A29" s="7" t="inlineStr">
        <is>
          <t>Trùng lặp</t>
        </is>
      </c>
      <c r="B29" s="23">
        <f>COUNTIF(Bug_Report!P5:P30, "Trùng lặp")</f>
        <v/>
      </c>
    </row>
    <row r="30">
      <c r="A30" s="7" t="inlineStr">
        <is>
          <t>Cần thêm thông tin</t>
        </is>
      </c>
      <c r="B30" s="23">
        <f>COUNTIF(Bug_Report!P5:P30, "Cần thêm thông tin")</f>
        <v/>
      </c>
    </row>
    <row r="32">
      <c r="A32" s="6" t="inlineStr">
        <is>
          <t>5. Test case theo kỹ thuật</t>
        </is>
      </c>
      <c r="B32" s="22" t="inlineStr">
        <is>
          <t>Số lượng</t>
        </is>
      </c>
    </row>
    <row r="33">
      <c r="A33" s="7" t="inlineStr">
        <is>
          <t>Phân hoạch tương đương (EP)</t>
        </is>
      </c>
      <c r="B33" s="23">
        <f>COUNTIF(TC_Chuc_nang!C5:C100, "*EP*")</f>
        <v/>
      </c>
    </row>
    <row r="34">
      <c r="A34" s="7" t="inlineStr">
        <is>
          <t>Giá trị biên (BVA)</t>
        </is>
      </c>
      <c r="B34" s="23">
        <f>COUNTIF(TC_Chuc_nang!C5:C100, "*BVA*")</f>
        <v/>
      </c>
    </row>
    <row r="35">
      <c r="A35" s="7" t="inlineStr">
        <is>
          <t>Bảng quyết định</t>
        </is>
      </c>
      <c r="B35" s="23">
        <f>COUNTIF(TC_Chuc_nang!C5:C100, "*quyết định*")</f>
        <v/>
      </c>
    </row>
    <row r="36">
      <c r="A36" s="7" t="inlineStr">
        <is>
          <t>Chuyển trạng thái</t>
        </is>
      </c>
      <c r="B36" s="23">
        <f>COUNTIF(TC_Chuc_nang!C5:C100, "*trạng thái*")</f>
        <v/>
      </c>
    </row>
    <row r="37">
      <c r="A37" s="7" t="inlineStr">
        <is>
          <t>Use case / E2E</t>
        </is>
      </c>
      <c r="B37" s="23">
        <f>COUNTIF(TC_Chuc_nang!C5:C100, "Use case / E2E")</f>
        <v/>
      </c>
    </row>
    <row r="38">
      <c r="A38" s="7" t="inlineStr">
        <is>
          <t>Phân quyền</t>
        </is>
      </c>
      <c r="B38" s="23">
        <f>COUNTIF(TC_Chuc_nang!C5:C100, "Phân quyền")</f>
        <v/>
      </c>
    </row>
    <row r="39">
      <c r="A39" s="7" t="inlineStr">
        <is>
          <t>Error guessing / Checklist</t>
        </is>
      </c>
      <c r="B39" s="23">
        <f>COUNTIF(TC_Chuc_nang!C5:C100, "*Checklist*")</f>
        <v/>
      </c>
    </row>
    <row r="40">
      <c r="A40" s="7" t="inlineStr">
        <is>
          <t>Exploratory</t>
        </is>
      </c>
      <c r="B40" s="23">
        <f>COUNTIF(TC_Chuc_nang!C5:C100, "*Exploratory*")</f>
        <v/>
      </c>
    </row>
    <row r="42">
      <c r="A42" s="6" t="inlineStr">
        <is>
          <t>6. Review SRS</t>
        </is>
      </c>
      <c r="B42" s="22" t="inlineStr">
        <is>
          <t>Số lượng</t>
        </is>
      </c>
    </row>
    <row r="43">
      <c r="A43" s="7" t="inlineStr">
        <is>
          <t>Tổng số vấn đề đã nêu</t>
        </is>
      </c>
      <c r="B43" s="23">
        <f>COUNTA(Review_SRS!A5:A30)</f>
        <v/>
      </c>
    </row>
    <row r="44">
      <c r="A44" s="7" t="inlineStr">
        <is>
          <t>Được chủ hệ thống chấp nhận</t>
        </is>
      </c>
      <c r="B44" s="23">
        <f>COUNTIF(Review_SRS!H5:H30, "Chấp nhận")</f>
        <v/>
      </c>
    </row>
  </sheetData>
  <mergeCells count="3">
    <mergeCell ref="A2:E2"/>
    <mergeCell ref="A1:E1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2026-10-28T03:20:45Z</dcterms:created>
  <dcterms:modified xmlns:dcterms="http://purl.org/dc/terms/" xmlns:xsi="http://www.w3.org/2001/XMLSchema-instance" xsi:type="dcterms:W3CDTF">2026-10-28T03:20:45Z</dcterms:modified>
</cp:coreProperties>
</file>